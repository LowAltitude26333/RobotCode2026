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190cb655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cecdd3bb6b114bdb"/>
    <x:sheet xmlns:r="http://schemas.openxmlformats.org/officeDocument/2006/relationships" name="SESION" sheetId="2" r:id="R53c33c2748e14fa4"/>
    <x:sheet xmlns:r="http://schemas.openxmlformats.org/officeDocument/2006/relationships" name="REVISION_FUENTES" sheetId="3" r:id="R6c089c8215b3403f"/>
    <x:sheet xmlns:r="http://schemas.openxmlformats.org/officeDocument/2006/relationships" name="CAMBIOS" sheetId="4" r:id="R3d0c9ddddb0149cd"/>
    <x:sheet xmlns:r="http://schemas.openxmlformats.org/officeDocument/2006/relationships" name="CONFIG" sheetId="5" r:id="R822adb5c5ba54f9b"/>
    <x:sheet xmlns:r="http://schemas.openxmlformats.org/officeDocument/2006/relationships" name="T8_1_ATTEMPTS" sheetId="6" r:id="R3e264b0861af469b"/>
    <x:sheet xmlns:r="http://schemas.openxmlformats.org/officeDocument/2006/relationships" name="RAW_TELEMETRY" sheetId="7" r:id="R048aa537bd274ee6"/>
    <x:sheet xmlns:r="http://schemas.openxmlformats.org/officeDocument/2006/relationships" name="SHOT_DATASET" sheetId="8" r:id="Reefe86c3e08647ee"/>
    <x:sheet xmlns:r="http://schemas.openxmlformats.org/officeDocument/2006/relationships" name="EXPORT_SHOT_DATASET" sheetId="9" r:id="R61a67a245b534cb3"/>
    <x:sheet xmlns:r="http://schemas.openxmlformats.org/officeDocument/2006/relationships" name="DASHBOARD" sheetId="10" r:id="R6469364e7e0a4859"/>
    <x:sheet xmlns:r="http://schemas.openxmlformats.org/officeDocument/2006/relationships" name="QA" sheetId="11" r:id="R0f084caccbaf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</x:fills>
  <x:borders count="2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medium">
        <x:color rgb="FF17324D"/>
      </x:left>
      <x:right style="thin">
        <x:color rgb="FFB4C7DC"/>
      </x:right>
      <x:top style="medium">
        <x:color rgb="FF17324D"/>
      </x:top>
      <x:bottom style="thin">
        <x:color rgb="FFB4C7DC"/>
      </x:bottom>
    </x:border>
    <x:border>
      <x:left style="thin">
        <x:color rgb="FFB4C7DC"/>
      </x:left>
      <x:top style="medium">
        <x:color rgb="FF17324D"/>
      </x:top>
      <x:bottom style="thin">
        <x:color rgb="FFB4C7DC"/>
      </x:bottom>
    </x:border>
    <x:border>
      <x:left style="medium">
        <x:color rgb="FF17324D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left style="medium">
        <x:color rgb="FF17324D"/>
      </x:left>
      <x:right style="thin">
        <x:color rgb="FFB4C7DC"/>
      </x:right>
      <x:top style="thin">
        <x:color rgb="FFB4C7DC"/>
      </x:top>
      <x:bottom style="medium">
        <x:color rgb="FF17324D"/>
      </x:bottom>
    </x:border>
    <x:border>
      <x:left style="thin">
        <x:color rgb="FFB4C7DC"/>
      </x:left>
      <x:top style="thin">
        <x:color rgb="FFB4C7DC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medium">
        <x:color rgb="FF17324D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medium">
        <x:color rgb="FF17324D"/>
      </x:bottom>
    </x:border>
    <x:border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thin">
        <x:color rgb="FFB4C7DC"/>
      </x:top>
    </x:border>
    <x:border>
      <x:left style="thin">
        <x:color rgb="FFB4C7DC"/>
      </x:left>
      <x:top style="thin">
        <x:color rgb="FFB4C7DC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200" fontId="0" fillId="6" borderId="11" xfId="0" applyNumberFormat="1" applyFont="1" applyFill="1" applyBorder="1"/>
    <x:xf numFmtId="0" fontId="3" fillId="4" borderId="1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5" borderId="14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/>
    <x:xf numFmtId="0" fontId="0" fillId="6" borderId="14" xfId="0" applyNumberFormat="1" applyFont="1" applyFill="1" applyBorder="1"/>
    <x:xf numFmtId="200" fontId="0" fillId="6" borderId="14" xfId="0" applyNumberFormat="1" applyFont="1" applyFill="1" applyBorder="1"/>
    <x:xf numFmtId="0" fontId="0" fillId="0" borderId="7" xfId="0" applyNumberFormat="1" applyFont="1" applyFill="1" applyBorder="1"/>
    <x:xf numFmtId="0" fontId="0" fillId="6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200" fontId="0" fillId="6" borderId="1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6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6" borderId="8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17" xfId="0" applyNumberFormat="1" applyFont="1" applyFill="1" applyBorder="1"/>
    <x:xf numFmtId="0" fontId="0" fillId="5" borderId="21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6" borderId="17" xfId="0" applyNumberFormat="1" applyFont="1" applyFill="1" applyBorder="1"/>
    <x:xf numFmtId="200" fontId="0" fillId="6" borderId="21" xfId="0" applyNumberFormat="1" applyFont="1" applyFill="1" applyBorder="1"/>
    <x:xf numFmtId="201" fontId="0" fillId="6" borderId="17" xfId="0" applyNumberFormat="1" applyFont="1" applyFill="1" applyBorder="1"/>
    <x:xf numFmtId="201" fontId="0" fillId="6" borderId="14" xfId="0" applyNumberFormat="1" applyFont="1" applyFill="1" applyBorder="1"/>
    <x:xf numFmtId="201" fontId="0" fillId="6" borderId="21" xfId="0" applyNumberFormat="1" applyFont="1" applyFill="1" applyBorder="1"/>
    <x:xf numFmtId="202" fontId="0" fillId="6" borderId="17" xfId="0" applyNumberFormat="1" applyFont="1" applyFill="1" applyBorder="1"/>
    <x:xf numFmtId="202" fontId="0" fillId="6" borderId="14" xfId="0" applyNumberFormat="1" applyFont="1" applyFill="1" applyBorder="1"/>
    <x:xf numFmtId="202" fontId="0" fillId="6" borderId="21" xfId="0" applyNumberFormat="1" applyFont="1" applyFill="1" applyBorder="1"/>
    <x:xf numFmtId="201" fontId="0" fillId="5" borderId="0" xfId="0" applyNumberFormat="1" applyFont="1" applyFill="1" applyBorder="1"/>
    <x:xf numFmtId="0" fontId="0" fillId="6" borderId="5" xfId="0" applyNumberFormat="1" applyFont="1" applyFill="1" applyBorder="1"/>
    <x:xf numFmtId="201" fontId="0" fillId="5" borderId="14" xfId="0" applyNumberFormat="1" applyFont="1" applyFill="1" applyBorder="1"/>
    <x:xf numFmtId="0" fontId="0" fillId="5" borderId="6" xfId="0" applyNumberFormat="1" applyFont="1" applyFill="1" applyBorder="1"/>
    <x:xf numFmtId="0" fontId="0" fillId="6" borderId="7" xfId="0" applyNumberFormat="1" applyFont="1" applyFill="1" applyBorder="1"/>
    <x:xf numFmtId="0" fontId="0" fillId="5" borderId="15" xfId="0" applyNumberFormat="1" applyFont="1" applyFill="1" applyBorder="1"/>
    <x:xf numFmtId="200" fontId="0" fillId="6" borderId="15" xfId="0" applyNumberFormat="1" applyFont="1" applyFill="1" applyBorder="1"/>
    <x:xf numFmtId="201" fontId="0" fillId="6" borderId="15" xfId="0" applyNumberFormat="1" applyFont="1" applyFill="1" applyBorder="1"/>
    <x:xf numFmtId="202" fontId="0" fillId="6" borderId="15" xfId="0" applyNumberFormat="1" applyFont="1" applyFill="1" applyBorder="1"/>
    <x:xf numFmtId="201" fontId="0" fillId="5" borderId="15" xfId="0" applyNumberFormat="1" applyFont="1" applyFill="1" applyBorder="1"/>
    <x:xf numFmtId="0" fontId="0" fillId="5" borderId="8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201" fontId="0" fillId="6" borderId="14" xfId="0" applyNumberFormat="1" applyFont="1" applyFill="1" applyBorder="1" applyAlignment="1">
      <x:alignment wrapText="1"/>
    </x:xf>
    <x:xf numFmtId="202" fontId="0" fillId="6" borderId="14" xfId="0" applyNumberFormat="1" applyFont="1" applyFill="1" applyBorder="1" applyAlignment="1">
      <x:alignment wrapText="1"/>
    </x:xf>
    <x:xf numFmtId="201" fontId="0" fillId="5" borderId="1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0" fontId="0" fillId="6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2" fontId="0" fillId="6" borderId="15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1" fontId="0" fillId="6" borderId="18" xfId="0" applyNumberFormat="1" applyFont="1" applyFill="1" applyBorder="1"/>
    <x:xf numFmtId="201" fontId="0" fillId="6" borderId="6" xfId="0" applyNumberFormat="1" applyFont="1" applyFill="1" applyBorder="1"/>
    <x:xf numFmtId="201" fontId="0" fillId="6" borderId="22" xfId="0" applyNumberFormat="1" applyFont="1" applyFill="1" applyBorder="1"/>
    <x:xf numFmtId="202" fontId="0" fillId="6" borderId="16" xfId="0" applyNumberFormat="1" applyFont="1" applyFill="1" applyBorder="1"/>
    <x:xf numFmtId="202" fontId="0" fillId="6" borderId="19" xfId="0" applyNumberFormat="1" applyFont="1" applyFill="1" applyBorder="1"/>
    <x:xf numFmtId="202" fontId="0" fillId="6" borderId="20" xfId="0" applyNumberFormat="1" applyFont="1" applyFill="1" applyBorder="1"/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C6E0B4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4df00d6ef4069" /><Relationship Type="http://schemas.openxmlformats.org/officeDocument/2006/relationships/theme" Target="/xl/theme/theme1.xml" Id="R4664cde954514ae2" /><Relationship Type="http://schemas.openxmlformats.org/officeDocument/2006/relationships/sharedStrings" Target="/xl/sharedStrings.xml" Id="R62f4577957244e15" /><Relationship Type="http://schemas.openxmlformats.org/officeDocument/2006/relationships/worksheet" Target="/xl/worksheets/sheet1.xml" Id="Rcecdd3bb6b114bdb" /><Relationship Type="http://schemas.openxmlformats.org/officeDocument/2006/relationships/worksheet" Target="/xl/worksheets/sheet2.xml" Id="R53c33c2748e14fa4" /><Relationship Type="http://schemas.openxmlformats.org/officeDocument/2006/relationships/worksheet" Target="/xl/worksheets/sheet3.xml" Id="R6c089c8215b3403f" /><Relationship Type="http://schemas.openxmlformats.org/officeDocument/2006/relationships/worksheet" Target="/xl/worksheets/sheet4.xml" Id="R3d0c9ddddb0149cd" /><Relationship Type="http://schemas.openxmlformats.org/officeDocument/2006/relationships/worksheet" Target="/xl/worksheets/sheet5.xml" Id="R822adb5c5ba54f9b" /><Relationship Type="http://schemas.openxmlformats.org/officeDocument/2006/relationships/worksheet" Target="/xl/worksheets/sheet6.xml" Id="R3e264b0861af469b" /><Relationship Type="http://schemas.openxmlformats.org/officeDocument/2006/relationships/worksheet" Target="/xl/worksheets/sheet7.xml" Id="R048aa537bd274ee6" /><Relationship Type="http://schemas.openxmlformats.org/officeDocument/2006/relationships/worksheet" Target="/xl/worksheets/sheet8.xml" Id="Reefe86c3e08647ee" /><Relationship Type="http://schemas.openxmlformats.org/officeDocument/2006/relationships/worksheet" Target="/xl/worksheets/sheet9.xml" Id="R61a67a245b534cb3" /><Relationship Type="http://schemas.openxmlformats.org/officeDocument/2006/relationships/worksheet" Target="/xl/worksheets/sheet10.xml" Id="R6469364e7e0a4859" /><Relationship Type="http://schemas.openxmlformats.org/officeDocument/2006/relationships/worksheet" Target="/xl/worksheets/sheet11.xml" Id="R0f084caccbaf4dfb" /></Relationships>
</file>

<file path=xl/tables/table1.xml><?xml version="1.0" encoding="utf-8"?>
<x:table xmlns:x="http://schemas.openxmlformats.org/spreadsheetml/2006/main" id="1" name="T81Attempts" displayName="T81Attempts" ref="A4:AH24" headerRowCount="1" totalsRowCount="0" totalsRowShown="0">
  <x:tableColumns count="34">
    <x:tableColumn id="1" name="AttemptId"/>
    <x:tableColumn id="2" name="Sequence"/>
    <x:tableColumn id="3" name="TargetRpm"/>
    <x:tableColumn id="4" name="ConfigRevision"/>
    <x:tableColumn id="5" name="Status"/>
    <x:tableColumn id="6" name="OpMode"/>
    <x:tableColumn id="7" name="APK SHA-256"/>
    <x:tableColumn id="8" name="TimestampLocal"/>
    <x:tableColumn id="9" name="Operator"/>
    <x:tableColumn id="10" name="SafetyOperator"/>
    <x:tableColumn id="11" name="NoPieces"/>
    <x:tableColumn id="12" name="FeederIntakeZero"/>
    <x:tableColumn id="13" name="TurretNotArmed"/>
    <x:tableColumn id="14" name="StartV"/>
    <x:tableColumn id="15" name="EndV"/>
    <x:tableColumn id="16" name="MinV"/>
    <x:tableColumn id="17" name="StartTicks"/>
    <x:tableColumn id="18" name="EndTicks"/>
    <x:tableColumn id="19" name="DurationMs"/>
    <x:tableColumn id="20" name="PeakRpm"/>
    <x:tableColumn id="21" name="MeasuredRpmBestHold"/>
    <x:tableColumn id="22" name="MaxReadyHoldMs"/>
    <x:tableColumn id="23" name="TimeToToleranceMs"/>
    <x:tableColumn id="24" name="OverspeedObserved"/>
    <x:tableColumn id="25" name="FinalPower"/>
    <x:tableColumn id="26" name="Health"/>
    <x:tableColumn id="27" name="Fault"/>
    <x:tableColumn id="28" name="StopConfirmed"/>
    <x:tableColumn id="29" name="Abnormality"/>
    <x:tableColumn id="30" name="EvidenceRef"/>
    <x:tableColumn id="31" name="Notes"/>
    <x:tableColumn id="32" name="RpmErrorAbs"/>
    <x:tableColumn id="33" name="OvershootRpm"/>
    <x:tableColumn id="34" name="Gat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81RawTelemetry" displayName="T81RawTelemetry" ref="A4:N104" headerRowCount="1" totalsRowCount="0" totalsRowShown="0">
  <x:tableColumns count="14">
    <x:tableColumn id="1" name="SampleId"/>
    <x:tableColumn id="2" name="AttemptId"/>
    <x:tableColumn id="3" name="ElapsedMs"/>
    <x:tableColumn id="4" name="TargetRpm"/>
    <x:tableColumn id="5" name="ActualRpm"/>
    <x:tableColumn id="6" name="ErrorRpm"/>
    <x:tableColumn id="7" name="AppliedPower"/>
    <x:tableColumn id="8" name="BatteryV"/>
    <x:tableColumn id="9" name="EncoderTicks"/>
    <x:tableColumn id="10" name="Health"/>
    <x:tableColumn id="11" name="Fault"/>
    <x:tableColumn id="12" name="SourceTime"/>
    <x:tableColumn id="13" name="EvidenceRef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tDataset" displayName="ShotDataset" ref="A4:V34" headerRowCount="1" totalsRowCount="0" totalsRowShown="0">
  <x:tableColumns count="22">
    <x:tableColumn id="1" name="sessionId"/>
    <x:tableColumn id="2" name="distanceGroupId"/>
    <x:tableColumn id="3" name="modelKind"/>
    <x:tableColumn id="4" name="role"/>
    <x:tableColumn id="5" name="distanceInches"/>
    <x:tableColumn id="6" name="targetRpm"/>
    <x:tableColumn id="7" name="measuredRpmAtFeed"/>
    <x:tableColumn id="8" name="rpmReadyHoldMs"/>
    <x:tableColumn id="9" name="outcome"/>
    <x:tableColumn id="10" name="AttemptId"/>
    <x:tableColumn id="11" name="ConfigRevision"/>
    <x:tableColumn id="12" name="Position"/>
    <x:tableColumn id="13" name="BatteryId"/>
    <x:tableColumn id="14" name="FusedXIn"/>
    <x:tableColumn id="15" name="FusedYIn"/>
    <x:tableColumn id="16" name="FusedHeadingDeg"/>
    <x:tableColumn id="17" name="TurretErrorDeg"/>
    <x:tableColumn id="18" name="ArtifactBatch"/>
    <x:tableColumn id="19" name="EvidenceRef"/>
    <x:tableColumn id="20" name="Notes"/>
    <x:tableColumn id="21" name="RpmError"/>
    <x:tableColumn id="22" name="Ready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27b25376e1c43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bdbdb46a88e44a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6c2b84eb595146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3" t="str">
        <x:v>PAQUETE 02 — SESIÓN LARGA / SHOOTER T8.1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Alcance único: shooter sin piezas ni feeder. No habilita MP-04, fusión, auto-aim, torreta, intake ni feeder.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9" t="str">
        <x:v>ORDEN OBLIGATORIO</x:v>
      </x:c>
      <x:c r="B4" s="20" t="str">
        <x:v>Acción</x:v>
      </x:c>
    </x:row>
    <x:row r="5">
      <x:c r="A5" s="21" t="n">
        <x:v>1</x:v>
      </x:c>
      <x:c r="B5" s="22" t="str">
        <x:v>Completar SESION y confirmar SHA del APK instalado antes de registrar evidencia.</x:v>
      </x:c>
    </x:row>
    <x:row r="6">
      <x:c r="A6" s="21" t="n">
        <x:v>2</x:v>
      </x:c>
      <x:c r="B6" s="22" t="str">
        <x:v>Área despejada, robot contenido/elevado según el montaje, protección apropiada y Stop/E-stop al alcance del Safety operator.</x:v>
      </x:c>
    </x:row>
    <x:row r="7">
      <x:c r="A7" s="21" t="n">
        <x:v>3</x:v>
      </x:c>
      <x:c r="B7" s="22" t="str">
        <x:v>Retirar todas las piezas. No tocar controles de intake, feeder/kicker ni torreta.</x:v>
      </x:c>
    </x:row>
    <x:row r="8">
      <x:c r="A8" s="21" t="n">
        <x:v>4</x:v>
      </x:c>
      <x:c r="B8" s="22" t="str">
        <x:v>Ejecutar sólo el intento autorizado: 1000 → 1500 → 2000 → 2450 → 2900 RPM, uno por vez y con confirmación humana entre niveles.</x:v>
      </x:c>
    </x:row>
    <x:row r="9">
      <x:c r="A9" s="21" t="n">
        <x:v>5</x:v>
      </x:c>
      <x:c r="B9" s="22" t="str">
        <x:v>Para cada intento registrar datos crudos en RAW_TELEMETRY y el resumen en T8_1_ATTEMPTS; nunca sobreescribir una fila previa.</x:v>
      </x:c>
    </x:row>
    <x:row r="10">
      <x:c r="A10" s="21" t="n">
        <x:v>6</x:v>
      </x:c>
      <x:c r="B10" s="22" t="str">
        <x:v>Criterio T8.1: error absoluto ≤100 RPM durante ≥250 ms, sin overspeed, fault ni anomalía, y power final 0 con Stop confirmado.</x:v>
      </x:c>
    </x:row>
    <x:row r="11">
      <x:c r="A11" s="21" t="n">
        <x:v>7</x:v>
      </x:c>
      <x:c r="B11" s="22" t="str">
        <x:v>3600 RPM queda bloqueado. No alimentar piezas; SHOT_DATASET permanece vacío durante esta etapa.</x:v>
      </x:c>
    </x:row>
    <x:row r="12">
      <x:c r="A12" s="21" t="n">
        <x:v>8</x:v>
      </x:c>
      <x:c r="B12" s="22" t="str">
        <x:v>Si cambia APK, PID/FF, límite, watchdog, motor, relación, batería o configuración, registrar CAMBIOS y aumentar ConfigRevision.</x:v>
      </x:c>
    </x:row>
    <x:row r="13">
      <x:c r="A13" s="21" t="str">
        <x:v>ABORTAR / DETENER</x:v>
      </x:c>
      <x:c r="B13" s="22" t="str">
        <x:v>Movimiento antes de Start; sentido inesperado; cable tenso; contacto; olor/humo/calor; vibración/ruido anormal; overspeed; corriente fuera del límite aprobado; encoder/voltaje inválido; feeder/shooter que no se detiene; excepción o reinicio.</x:v>
      </x:c>
    </x:row>
    <x:row r="14">
      <x:c r="A14" s="21" t="str">
        <x:v>AL ABORTAR</x:v>
      </x:c>
      <x:c r="B14" s="22" t="str">
        <x:v>Safety operator usa Stop/E-stop; cortar energía si hay riesgo material; marcar ABORTED; guardar telemetría/video y no reiniciar hasta inspección.</x:v>
      </x:c>
    </x:row>
    <x:row r="15">
      <x:c r="A15" s="21" t="str">
        <x:v>OWNER ACTUAL</x:v>
      </x:c>
      <x:c r="B15" s="22" t="str">
        <x:v>El checkout actual sólo permite el pulso protegido de 1000 RPM en SYSTEM CHECK and TUNING. Los siguientes setpoints requieren un owner de commissioning revisado; no usar Shooter Tuning porque su salida física permanece inhibida.</x:v>
      </x:c>
    </x:row>
    <x:row r="16">
      <x:c r="A16" s="21" t="str">
        <x:v>MP-03</x:v>
      </x:c>
      <x:c r="B16" s="22" t="str">
        <x:v>El usuario lo declara cerrado por excepción documentada. El Excel 01 _FILLED auditado conserva campos vacíos/NOT_RUN; esta discrepancia queda en REVISION_FUENTES y no abre MP-04.</x:v>
      </x:c>
    </x:row>
    <x:row r="17">
      <x:c r="A17" s="21" t="str">
        <x:v>RUNBOOK</x:v>
      </x:c>
      <x:c r="B17" s="22" t="str">
        <x:v>docs/plan-maestro/05-programa-pruebas.md §13 T8.1; 08-guia-verificacion-hardware.md §5.4; 10-protocolo-agente-sesion.md §§3–5.</x:v>
      </x:c>
    </x:row>
    <x:row r="18">
      <x:c r="A18" s="21" t="str">
        <x:v>RESULTADOS</x:v>
      </x:c>
      <x:c r="B18" s="22" t="str">
        <x:v>No inferir ni prellenar. El humano decide Start/abort y confirma el gate antes de avanzar al siguiente setpoint.</x:v>
      </x:c>
    </x:row>
    <x:row r="19">
      <x:c r="A19" s="23" t="str">
        <x:v>SALIDA</x:v>
      </x:c>
      <x:c r="B19" s="24" t="str">
        <x:v>Finalizar cada intento con target 0, applied power 0 y parada física confirmada.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52" hidden="0" customWidth="1"/>
    <x:col min="4" max="4" width="14" hidden="0" customWidth="1"/>
  </x:cols>
  <x:sheetData>
    <x:row r="1" ht="30" customHeight="1">
      <x:c r="A1" s="26" t="str">
        <x:v>IDENTIDAD DE SESIÓN</x:v>
      </x:c>
      <x:c r="B1" s="26" t="str">
        <x:v>IDENTIDAD DE SESIÓN</x:v>
      </x:c>
      <x:c r="C1" s="26" t="str">
        <x:v>IDENTIDAD DE SESIÓN</x:v>
      </x:c>
      <x:c r="D1" s="26" t="str">
        <x:v>IDENTIDAD DE SESIÓN</x:v>
      </x:c>
    </x:row>
    <x:row r="2" ht="34" customHeight="1">
      <x:c r="A2" s="29" t="str">
        <x:v>Completar antes de INIT. Amarillo = evidencia/entrada humana.</x:v>
      </x:c>
      <x:c r="B2" s="29" t="str">
        <x:v>Completar antes de INIT. Amarillo = evidencia/entrada humana.</x:v>
      </x:c>
      <x:c r="C2" s="29" t="str">
        <x:v>Completar antes de INIT. Amarillo = evidencia/entrada humana.</x:v>
      </x:c>
      <x:c r="D2" s="29" t="str">
        <x:v>Completar antes de INIT. Amarillo = evidencia/entrada humana.</x:v>
      </x:c>
    </x:row>
    <x:row r="4" ht="34" customHeight="1">
      <x:c r="A4" s="19" t="str">
        <x:v>Campo</x:v>
      </x:c>
      <x:c r="B4" s="38" t="str">
        <x:v>Valor</x:v>
      </x:c>
      <x:c r="C4" s="38" t="str">
        <x:v>Guía</x:v>
      </x:c>
      <x:c r="D4" s="20" t="str">
        <x:v>Obligatorio</x:v>
      </x:c>
    </x:row>
    <x:row r="5">
      <x:c r="A5" s="49" t="str">
        <x:v>SchemaVersion</x:v>
      </x:c>
      <x:c r="B5" s="50" t="n">
        <x:v>1</x:v>
      </x:c>
      <x:c r="C5" s="51" t="str">
        <x:v>Fijo</x:v>
      </x:c>
      <x:c r="D5" s="22" t="str">
        <x:v>YES</x:v>
      </x:c>
    </x:row>
    <x:row r="6">
      <x:c r="A6" s="49" t="str">
        <x:v>TemplateVersion</x:v>
      </x:c>
      <x:c r="B6" s="50" t="n">
        <x:v>1</x:v>
      </x:c>
      <x:c r="C6" s="51" t="str">
        <x:v>Fijo</x:v>
      </x:c>
      <x:c r="D6" s="22" t="str">
        <x:v>YES</x:v>
      </x:c>
    </x:row>
    <x:row r="7">
      <x:c r="A7" s="49" t="str">
        <x:v>PacketId</x:v>
      </x:c>
      <x:c r="B7" s="50" t="str">
        <x:v>02-sesion-larga</x:v>
      </x:c>
      <x:c r="C7" s="51" t="str">
        <x:v>Fijo</x:v>
      </x:c>
      <x:c r="D7" s="22" t="str">
        <x:v>YES</x:v>
      </x:c>
    </x:row>
    <x:row r="8">
      <x:c r="A8" s="49" t="str">
        <x:v>PacketVersion</x:v>
      </x:c>
      <x:c r="B8" s="50" t="n">
        <x:v>1</x:v>
      </x:c>
      <x:c r="C8" s="51" t="str">
        <x:v>Fijo</x:v>
      </x:c>
      <x:c r="D8" s="22" t="str">
        <x:v>YES</x:v>
      </x:c>
    </x:row>
    <x:row r="9">
      <x:c r="A9" s="49" t="str">
        <x:v>SessionId</x:v>
      </x:c>
      <x:c r="B9" s="52"/>
      <x:c r="C9" s="51" t="str">
        <x:v>Ej. T8-20260722-A</x:v>
      </x:c>
      <x:c r="D9" s="22" t="str">
        <x:v>YES</x:v>
      </x:c>
    </x:row>
    <x:row r="10">
      <x:c r="A10" s="49" t="str">
        <x:v>Fecha/hora local</x:v>
      </x:c>
      <x:c r="B10" s="52"/>
      <x:c r="C10" s="51" t="str">
        <x:v>YYYY-MM-DD HH:MM America/Mexico_City</x:v>
      </x:c>
      <x:c r="D10" s="22" t="str">
        <x:v>YES</x:v>
      </x:c>
    </x:row>
    <x:row r="11">
      <x:c r="A11" s="49" t="str">
        <x:v>Ubicación</x:v>
      </x:c>
      <x:c r="B11" s="52"/>
      <x:c r="C11" s="51" t="str">
        <x:v>Zona de pruebas</x:v>
      </x:c>
      <x:c r="D11" s="22" t="str">
        <x:v>YES</x:v>
      </x:c>
    </x:row>
    <x:row r="12">
      <x:c r="A12" s="49" t="str">
        <x:v>Operador</x:v>
      </x:c>
      <x:c r="B12" s="52"/>
      <x:c r="C12" s="51" t="str">
        <x:v>Driver/operator</x:v>
      </x:c>
      <x:c r="D12" s="22" t="str">
        <x:v>YES</x:v>
      </x:c>
    </x:row>
    <x:row r="13">
      <x:c r="A13" s="49" t="str">
        <x:v>Test lead</x:v>
      </x:c>
      <x:c r="B13" s="52"/>
      <x:c r="C13" s="51" t="str">
        <x:v>Decide Start/abort</x:v>
      </x:c>
      <x:c r="D13" s="22" t="str">
        <x:v>YES</x:v>
      </x:c>
    </x:row>
    <x:row r="14">
      <x:c r="A14" s="49" t="str">
        <x:v>Safety operator</x:v>
      </x:c>
      <x:c r="B14" s="52"/>
      <x:c r="C14" s="51" t="str">
        <x:v>Stop/E-stop inmediato</x:v>
      </x:c>
      <x:c r="D14" s="22" t="str">
        <x:v>YES</x:v>
      </x:c>
    </x:row>
    <x:row r="15">
      <x:c r="A15" s="49" t="str">
        <x:v>Mechanism observer</x:v>
      </x:c>
      <x:c r="B15" s="52"/>
      <x:c r="C15" s="51" t="str">
        <x:v>Cable/vibración/temperatura</x:v>
      </x:c>
      <x:c r="D15" s="22" t="str">
        <x:v>YES</x:v>
      </x:c>
    </x:row>
    <x:row r="16">
      <x:c r="A16" s="49" t="str">
        <x:v>Data recorder</x:v>
      </x:c>
      <x:c r="B16" s="52"/>
      <x:c r="C16" s="51" t="str">
        <x:v>Telemetría/video/Excel</x:v>
      </x:c>
      <x:c r="D16" s="22" t="str">
        <x:v>YES</x:v>
      </x:c>
    </x:row>
    <x:row r="17">
      <x:c r="A17" s="49" t="str">
        <x:v>Git commit</x:v>
      </x:c>
      <x:c r="B17" s="52" t="str">
        <x:v>f272792</x:v>
      </x:c>
      <x:c r="C17" s="51" t="str">
        <x:v>Checkout revisado</x:v>
      </x:c>
      <x:c r="D17" s="22" t="str">
        <x:v>YES</x:v>
      </x:c>
    </x:row>
    <x:row r="18">
      <x:c r="A18" s="49" t="str">
        <x:v>Rama</x:v>
      </x:c>
      <x:c r="B18" s="52" t="str">
        <x:v>masterplan</x:v>
      </x:c>
      <x:c r="C18" s="51" t="str">
        <x:v>Checkout revisado</x:v>
      </x:c>
      <x:c r="D18" s="22" t="str">
        <x:v>YES</x:v>
      </x:c>
    </x:row>
    <x:row r="19">
      <x:c r="A19" s="49" t="str">
        <x:v>Dirty status al preparar</x:v>
      </x:c>
      <x:c r="B19" s="52" t="str">
        <x:v>DIRTY: untracked .codex-artifacts/ y 01-cierre-mp03_v1_FILLED.xlsx</x:v>
      </x:c>
      <x:c r="C19" s="51" t="str">
        <x:v>No heredar APK por esto</x:v>
      </x:c>
      <x:c r="D19" s="22" t="str">
        <x:v>YES</x:v>
      </x:c>
    </x:row>
    <x:row r="20">
      <x:c r="A20" s="49" t="str">
        <x:v>APK SHA-256 instalado</x:v>
      </x:c>
      <x:c r="B20" s="52"/>
      <x:c r="C20" s="51" t="str">
        <x:v>64 hex; debe corresponder al código ejecutado</x:v>
      </x:c>
      <x:c r="D20" s="22" t="str">
        <x:v>YES</x:v>
      </x:c>
    </x:row>
    <x:row r="21">
      <x:c r="A21" s="49" t="str">
        <x:v>APK/build ID</x:v>
      </x:c>
      <x:c r="B21" s="52"/>
      <x:c r="C21" s="51" t="str">
        <x:v>Nombre/fecha de build</x:v>
      </x:c>
      <x:c r="D21" s="22" t="str">
        <x:v>YES</x:v>
      </x:c>
    </x:row>
    <x:row r="22">
      <x:c r="A22" s="49" t="str">
        <x:v>ConfigRevision</x:v>
      </x:c>
      <x:c r="B22" s="52" t="str">
        <x:v>R1</x:v>
      </x:c>
      <x:c r="C22" s="51" t="str">
        <x:v>Incrementar tras cambio material</x:v>
      </x:c>
      <x:c r="D22" s="22" t="str">
        <x:v>YES</x:v>
      </x:c>
    </x:row>
    <x:row r="23">
      <x:c r="A23" s="49" t="str">
        <x:v>Robot Controller config</x:v>
      </x:c>
      <x:c r="B23" s="52"/>
      <x:c r="C23" s="51" t="str">
        <x:v>Nombre/revisión; Shooter en Expansion Hub motor 3</x:v>
      </x:c>
      <x:c r="D23" s="22" t="str">
        <x:v>YES</x:v>
      </x:c>
    </x:row>
    <x:row r="24">
      <x:c r="A24" s="49" t="str">
        <x:v>RC / DS / Hub firmware</x:v>
      </x:c>
      <x:c r="B24" s="52"/>
      <x:c r="C24" s="51" t="str">
        <x:v>Registrar versiones observadas</x:v>
      </x:c>
      <x:c r="D24" s="22" t="str">
        <x:v>YES</x:v>
      </x:c>
    </x:row>
    <x:row r="25">
      <x:c r="A25" s="49" t="str">
        <x:v>Batería ID</x:v>
      </x:c>
      <x:c r="B25" s="52"/>
      <x:c r="C25" s="51" t="str">
        <x:v>Identificador físico</x:v>
      </x:c>
      <x:c r="D25" s="22" t="str">
        <x:v>YES</x:v>
      </x:c>
    </x:row>
    <x:row r="26">
      <x:c r="A26" s="49" t="str">
        <x:v>Voltaje inicial (V)</x:v>
      </x:c>
      <x:c r="B26" s="53"/>
      <x:c r="C26" s="51" t="str">
        <x:v>Número</x:v>
      </x:c>
      <x:c r="D26" s="22" t="str">
        <x:v>YES</x:v>
      </x:c>
    </x:row>
    <x:row r="27">
      <x:c r="A27" s="49" t="str">
        <x:v>Configuración mecánica shooter</x:v>
      </x:c>
      <x:c r="B27" s="52" t="str">
        <x:v>1 motor Shooter; sin piezas; feeder/intake/turret no usados</x:v>
      </x:c>
      <x:c r="C27" s="51" t="str">
        <x:v>Confirmar en robot</x:v>
      </x:c>
      <x:c r="D27" s="22" t="str">
        <x:v>YES</x:v>
      </x:c>
    </x:row>
    <x:row r="28">
      <x:c r="A28" s="49" t="str">
        <x:v>Palabra de abort</x:v>
      </x:c>
      <x:c r="B28" s="52"/>
      <x:c r="C28" s="51" t="str">
        <x:v>Acordada antes de Start</x:v>
      </x:c>
      <x:c r="D28" s="22" t="str">
        <x:v>YES</x:v>
      </x:c>
    </x:row>
    <x:row r="29">
      <x:c r="A29" s="54" t="str">
        <x:v>Notas ambientales</x:v>
      </x:c>
      <x:c r="B29" s="55"/>
      <x:c r="C29" s="56" t="str">
        <x:v>Luz, temperatura, ruido, montaje</x:v>
      </x:c>
      <x:c r="D29" s="24" t="str">
        <x:v>NO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66" hidden="0" customWidth="1"/>
    <x:col min="5" max="5" width="34" hidden="0" customWidth="1"/>
    <x:col min="6" max="6" width="16" hidden="0" customWidth="1"/>
    <x:col min="7" max="7" width="58" hidden="0" customWidth="1"/>
  </x:cols>
  <x:sheetData>
    <x:row r="1" ht="30" customHeight="1">
      <x:c r="A1" s="26" t="str">
        <x:v>REVISIÓN DE FUENTES Y ALCANCE</x:v>
      </x:c>
      <x:c r="B1" s="26" t="str">
        <x:v>REVISIÓN DE FUENTES Y ALCANCE</x:v>
      </x:c>
      <x:c r="C1" s="26" t="str">
        <x:v>REVISIÓN DE FUENTES Y ALCANCE</x:v>
      </x:c>
      <x:c r="D1" s="26" t="str">
        <x:v>REVISIÓN DE FUENTES Y ALCANCE</x:v>
      </x:c>
      <x:c r="E1" s="26" t="str">
        <x:v>REVISIÓN DE FUENTES Y ALCANCE</x:v>
      </x:c>
      <x:c r="F1" s="26" t="str">
        <x:v>REVISIÓN DE FUENTES Y ALCANCE</x:v>
      </x:c>
      <x:c r="G1" s="26" t="str">
        <x:v>REVISIÓN DE FUENTES Y ALCANCE</x:v>
      </x:c>
    </x:row>
    <x:row r="2" ht="34" customHeight="1">
      <x:c r="A2" s="29" t="str">
        <x:v>Hallazgos estáticos; no equivalen a resultados físicos.</x:v>
      </x:c>
      <x:c r="B2" s="29" t="str">
        <x:v>Hallazgos estáticos; no equivalen a resultados físicos.</x:v>
      </x:c>
      <x:c r="C2" s="29" t="str">
        <x:v>Hallazgos estáticos; no equivalen a resultados físicos.</x:v>
      </x:c>
      <x:c r="D2" s="29" t="str">
        <x:v>Hallazgos estáticos; no equivalen a resultados físicos.</x:v>
      </x:c>
      <x:c r="E2" s="29" t="str">
        <x:v>Hallazgos estáticos; no equivalen a resultados físicos.</x:v>
      </x:c>
      <x:c r="F2" s="29" t="str">
        <x:v>Hallazgos estáticos; no equivalen a resultados físicos.</x:v>
      </x:c>
      <x:c r="G2" s="29" t="str">
        <x:v>Hallazgos estáticos; no equivalen a resultados físicos.</x:v>
      </x:c>
    </x:row>
    <x:row r="4" ht="34" customHeight="1">
      <x:c r="A4" s="19" t="str">
        <x:v>Id</x:v>
      </x:c>
      <x:c r="B4" s="38" t="str">
        <x:v>Fuente</x:v>
      </x:c>
      <x:c r="C4" s="38" t="str">
        <x:v>Dato revisado</x:v>
      </x:c>
      <x:c r="D4" s="38" t="str">
        <x:v>Observado</x:v>
      </x:c>
      <x:c r="E4" s="38" t="str">
        <x:v>Impacto</x:v>
      </x:c>
      <x:c r="F4" s="38" t="str">
        <x:v>Estado</x:v>
      </x:c>
      <x:c r="G4" s="20" t="str">
        <x:v>Evidencia / nota</x:v>
      </x:c>
    </x:row>
    <x:row r="5">
      <x:c r="A5" s="49" t="str">
        <x:v>SRC-01</x:v>
      </x:c>
      <x:c r="B5" s="51" t="str">
        <x:v>AGENTS.md</x:v>
      </x:c>
      <x:c r="C5" s="51" t="str">
        <x:v>Ruta activa, hardware safety y gates</x:v>
      </x:c>
      <x:c r="D5" s="51" t="str">
        <x:v>Leído; exige límites, stop y validación física escalonada</x:v>
      </x:c>
      <x:c r="E5" s="51" t="str">
        <x:v>Controla la sesión</x:v>
      </x:c>
      <x:c r="F5" s="51" t="str">
        <x:v>PASS</x:v>
      </x:c>
      <x:c r="G5" s="22" t="str">
        <x:v>AGENTS.md</x:v>
      </x:c>
    </x:row>
    <x:row r="6">
      <x:c r="A6" s="49" t="str">
        <x:v>SRC-02</x:v>
      </x:c>
      <x:c r="B6" s="51" t="str">
        <x:v>plan-final-antespremier.md</x:v>
      </x:c>
      <x:c r="C6" s="51" t="str">
        <x:v>Orden shooter sin carga</x:v>
      </x:c>
      <x:c r="D6" s="51" t="str">
        <x:v>1000→1500→2000→2450→2900; ±100 RPM ≥250 ms; 3600 bloqueado</x:v>
      </x:c>
      <x:c r="E6" s="51" t="str">
        <x:v>Define T8.1</x:v>
      </x:c>
      <x:c r="F6" s="51" t="str">
        <x:v>PASS</x:v>
      </x:c>
      <x:c r="G6" s="22" t="str">
        <x:v>§8 Shooter</x:v>
      </x:c>
    </x:row>
    <x:row r="7">
      <x:c r="A7" s="49" t="str">
        <x:v>SRC-03</x:v>
      </x:c>
      <x:c r="B7" s="51" t="str">
        <x:v>05-programa-pruebas.md</x:v>
      </x:c>
      <x:c r="C7" s="51" t="str">
        <x:v>Gate T8.1</x:v>
      </x:c>
      <x:c r="D7" s="51" t="str">
        <x:v>Step response, tolerancia, overshoot, steady-state, stop/restart, temperatura/vibración</x:v>
      </x:c>
      <x:c r="E7" s="51" t="str">
        <x:v>Define captura</x:v>
      </x:c>
      <x:c r="F7" s="51" t="str">
        <x:v>PASS</x:v>
      </x:c>
      <x:c r="G7" s="22" t="str">
        <x:v>§13 T8.1</x:v>
      </x:c>
    </x:row>
    <x:row r="8">
      <x:c r="A8" s="49" t="str">
        <x:v>SRC-04</x:v>
      </x:c>
      <x:c r="B8" s="51" t="str">
        <x:v>10-protocolo-agente-sesion.md</x:v>
      </x:c>
      <x:c r="C8" s="51" t="str">
        <x:v>Una prueba a la vez</x:v>
      </x:c>
      <x:c r="D8" s="51" t="str">
        <x:v>Encabezado antes de evidencia; humano decide Start/abort/gate</x:v>
      </x:c>
      <x:c r="E8" s="51" t="str">
        <x:v>Define interacción</x:v>
      </x:c>
      <x:c r="F8" s="51" t="str">
        <x:v>PASS</x:v>
      </x:c>
      <x:c r="G8" s="22" t="str">
        <x:v>§§3–5</x:v>
      </x:c>
    </x:row>
    <x:row r="9">
      <x:c r="A9" s="49" t="str">
        <x:v>SRC-05</x:v>
      </x:c>
      <x:c r="B9" s="51" t="str">
        <x:v>RobotMap.java</x:v>
      </x:c>
      <x:c r="C9" s="51" t="str">
        <x:v>Hardware activo</x:v>
      </x:c>
      <x:c r="D9" s="51" t="str">
        <x:v>SHOOTER_MOTOR=Shooter; motor invertido; encoder FTCLib normal</x:v>
      </x:c>
      <x:c r="E9" s="51" t="str">
        <x:v>No sustituir mapping</x:v>
      </x:c>
      <x:c r="F9" s="51" t="str">
        <x:v>PASS</x:v>
      </x:c>
      <x:c r="G9" s="22" t="str">
        <x:v>Checkout f272792</x:v>
      </x:c>
    </x:row>
    <x:row r="10">
      <x:c r="A10" s="49" t="str">
        <x:v>SRC-06</x:v>
      </x:c>
      <x:c r="B10" s="51" t="str">
        <x:v>ShooterSubsystem.java</x:v>
      </x:c>
      <x:c r="C10" s="51" t="str">
        <x:v>Control y shutdown</x:v>
      </x:c>
      <x:c r="D10" s="51" t="str">
        <x:v>1 motor; PID/FF; voltage compensation; stall/overspeed faults; physicalOutputAllowed=false por defecto; stop→target/power 0</x:v>
      </x:c>
      <x:c r="E10" s="51" t="str">
        <x:v>Fail-closed</x:v>
      </x:c>
      <x:c r="F10" s="51" t="str">
        <x:v>PASS</x:v>
      </x:c>
      <x:c r="G10" s="22" t="str">
        <x:v>Checkout f272792</x:v>
      </x:c>
    </x:row>
    <x:row r="11">
      <x:c r="A11" s="49" t="str">
        <x:v>SRC-07</x:v>
      </x:c>
      <x:c r="B11" s="51" t="str">
        <x:v>SystemCheckOpMode.java</x:v>
      </x:c>
      <x:c r="C11" s="51" t="str">
        <x:v>Owner físico actual</x:v>
      </x:c>
      <x:c r="D11" s="51" t="str">
        <x:v>Salida limitada 0.75; target fijo 1000 RPM; pulso 3000 ms; watchdog 150 ms; un pulso por INIT; START+A</x:v>
      </x:c>
      <x:c r="E11" s="51" t="str">
        <x:v>Sirve sólo para primer nivel</x:v>
      </x:c>
      <x:c r="F11" s="51" t="str">
        <x:v>PASS</x:v>
      </x:c>
      <x:c r="G11" s="22" t="str">
        <x:v>Checkout f272792</x:v>
      </x:c>
    </x:row>
    <x:row r="12">
      <x:c r="A12" s="49" t="str">
        <x:v>SRC-08</x:v>
      </x:c>
      <x:c r="B12" s="51" t="str">
        <x:v>ShooterTuningOpMode.java</x:v>
      </x:c>
      <x:c r="C12" s="51" t="str">
        <x:v>TeleOp tuning genérico</x:v>
      </x:c>
      <x:c r="D12" s="51" t="str">
        <x:v>No llama enableCommissioningPhysicalOutput(); aunque se seleccione target, motor queda en cero</x:v>
      </x:c>
      <x:c r="E12" s="51" t="str">
        <x:v>No usar para T8.1</x:v>
      </x:c>
      <x:c r="F12" s="51" t="str">
        <x:v>BLOCKED</x:v>
      </x:c>
      <x:c r="G12" s="22" t="str">
        <x:v>Checkout f272792</x:v>
      </x:c>
    </x:row>
    <x:row r="13">
      <x:c r="A13" s="49" t="str">
        <x:v>SRC-09</x:v>
      </x:c>
      <x:c r="B13" s="51" t="str">
        <x:v>Owners commissioning</x:v>
      </x:c>
      <x:c r="C13" s="51" t="str">
        <x:v>1500/2000/2450/2900</x:v>
      </x:c>
      <x:c r="D13" s="51" t="str">
        <x:v>No existe owner revisado que exponga la secuencia manteniendo el alcance shooter-only</x:v>
      </x:c>
      <x:c r="E13" s="51" t="str">
        <x:v>Bloquea niveles posteriores</x:v>
      </x:c>
      <x:c r="F13" s="51" t="str">
        <x:v>BLOCKED</x:v>
      </x:c>
      <x:c r="G13" s="22" t="str">
        <x:v>Se requiere cambio de código/APK y ConfigRevision</x:v>
      </x:c>
    </x:row>
    <x:row r="14">
      <x:c r="A14" s="49" t="str">
        <x:v>SRC-10</x:v>
      </x:c>
      <x:c r="B14" s="51" t="str">
        <x:v>01-cierre-mp03_v1_FILLED.xlsx</x:v>
      </x:c>
      <x:c r="C14" s="51" t="str">
        <x:v>Cierre normal MP-03</x:v>
      </x:c>
      <x:c r="D14" s="51" t="str">
        <x:v>14 hojas; SESION/config/tests vacíos; DASHBOARD=NOT_RUN; sin errores de fórmula</x:v>
      </x:c>
      <x:c r="E14" s="51" t="str">
        <x:v>No prueba gate normal</x:v>
      </x:c>
      <x:c r="F14" s="51" t="str">
        <x:v>BLOCKED</x:v>
      </x:c>
      <x:c r="G14" s="22" t="str">
        <x:v>SHA-256 CD3A93574DDAA6943DE99561D4A83D7F7E5FDA3782FD8415EF0AD8BEF5F6DCA1</x:v>
      </x:c>
    </x:row>
    <x:row r="15">
      <x:c r="A15" s="49" t="str">
        <x:v>SRC-11</x:v>
      </x:c>
      <x:c r="B15" s="51" t="str">
        <x:v>Instrucción del usuario</x:v>
      </x:c>
      <x:c r="C15" s="51" t="str">
        <x:v>Estado MP-03</x:v>
      </x:c>
      <x:c r="D15" s="51" t="str">
        <x:v>Cerrado por excepción documentada; no abrir MP-04/fusión/aim/turret/feeder</x:v>
      </x:c>
      <x:c r="E15" s="51" t="str">
        <x:v>Autoriza sólo continuar shooter</x:v>
      </x:c>
      <x:c r="F15" s="51" t="str">
        <x:v>RECORDED</x:v>
      </x:c>
      <x:c r="G15" s="22" t="str">
        <x:v>Conversación Codex 2026-07-22; referencia documental externa no suministrada</x:v>
      </x:c>
    </x:row>
    <x:row r="16">
      <x:c r="A16" s="54" t="str">
        <x:v>SRC-12</x:v>
      </x:c>
      <x:c r="B16" s="56" t="str">
        <x:v>Alcance paquete 02</x:v>
      </x:c>
      <x:c r="C16" s="56" t="str">
        <x:v>Actuadores</x:v>
      </x:c>
      <x:c r="D16" s="56" t="str">
        <x:v>Sólo shooter; sin piezas; no tocar intake/kicker/turret; Stop/E-stop disponible</x:v>
      </x:c>
      <x:c r="E16" s="56" t="str">
        <x:v>Límite obligatorio</x:v>
      </x:c>
      <x:c r="F16" s="56" t="str">
        <x:v>PASS</x:v>
      </x:c>
      <x:c r="G16" s="24" t="str">
        <x:v>Instrucción del usuario</x:v>
      </x:c>
    </x:row>
  </x:sheetData>
  <x:mergeCells>
    <x:mergeCell ref="A1:G1"/>
    <x:mergeCell ref="A2:G2"/>
  </x:mergeCells>
  <x:conditionalFormatting sqref="F5:F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ABOR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24" hidden="0" customWidth="1"/>
    <x:col min="9" max="9" width="48" hidden="0" customWidth="1"/>
  </x:cols>
  <x:sheetData>
    <x:row r="1" ht="30" customHeight="1">
      <x:c r="A1" s="26" t="str">
        <x:v>REGISTRO DE CAMBIOS</x:v>
      </x:c>
      <x:c r="B1" s="26" t="str">
        <x:v>REGISTRO DE CAMBIOS</x:v>
      </x:c>
      <x:c r="C1" s="26" t="str">
        <x:v>REGISTRO DE CAMBIOS</x:v>
      </x:c>
      <x:c r="D1" s="26" t="str">
        <x:v>REGISTRO DE CAMBIOS</x:v>
      </x:c>
      <x:c r="E1" s="26" t="str">
        <x:v>REGISTRO DE CAMBIOS</x:v>
      </x:c>
      <x:c r="F1" s="26" t="str">
        <x:v>REGISTRO DE CAMBIOS</x:v>
      </x:c>
      <x:c r="G1" s="26" t="str">
        <x:v>REGISTRO DE CAMBIOS</x:v>
      </x:c>
      <x:c r="H1" s="26" t="str">
        <x:v>REGISTRO DE CAMBIOS</x:v>
      </x:c>
      <x:c r="I1" s="26" t="str">
        <x:v>REGISTRO DE CAMBIOS</x:v>
      </x:c>
    </x:row>
    <x:row r="2" ht="34" customHeight="1">
      <x:c r="A2" s="29" t="str">
        <x:v>No combinar intentos de distinta ConfigRevision para declarar un gate.</x:v>
      </x:c>
      <x:c r="B2" s="29" t="str">
        <x:v>No combinar intentos de distinta ConfigRevision para declarar un gate.</x:v>
      </x:c>
      <x:c r="C2" s="29" t="str">
        <x:v>No combinar intentos de distinta ConfigRevision para declarar un gate.</x:v>
      </x:c>
      <x:c r="D2" s="29" t="str">
        <x:v>No combinar intentos de distinta ConfigRevision para declarar un gate.</x:v>
      </x:c>
      <x:c r="E2" s="29" t="str">
        <x:v>No combinar intentos de distinta ConfigRevision para declarar un gate.</x:v>
      </x:c>
      <x:c r="F2" s="29" t="str">
        <x:v>No combinar intentos de distinta ConfigRevision para declarar un gate.</x:v>
      </x:c>
      <x:c r="G2" s="29" t="str">
        <x:v>No combinar intentos de distinta ConfigRevision para declarar un gate.</x:v>
      </x:c>
      <x:c r="H2" s="29" t="str">
        <x:v>No combinar intentos de distinta ConfigRevision para declarar un gate.</x:v>
      </x:c>
      <x:c r="I2" s="29" t="str">
        <x:v>No combinar intentos de distinta ConfigRevision para declarar un gate.</x:v>
      </x:c>
    </x:row>
    <x:row r="4" ht="34" customHeight="1">
      <x:c r="A4" s="19" t="str">
        <x:v>ChangeId</x:v>
      </x:c>
      <x:c r="B4" s="38" t="str">
        <x:v>TimestampLocal</x:v>
      </x:c>
      <x:c r="C4" s="38" t="str">
        <x:v>FromRevision</x:v>
      </x:c>
      <x:c r="D4" s="38" t="str">
        <x:v>ToRevision</x:v>
      </x:c>
      <x:c r="E4" s="38" t="str">
        <x:v>Category</x:v>
      </x:c>
      <x:c r="F4" s="38" t="str">
        <x:v>Before</x:v>
      </x:c>
      <x:c r="G4" s="38" t="str">
        <x:v>After</x:v>
      </x:c>
      <x:c r="H4" s="38" t="str">
        <x:v>AppliesFromAttemptId</x:v>
      </x:c>
      <x:c r="I4" s="20" t="str">
        <x:v>Reason</x:v>
      </x:c>
    </x:row>
    <x:row r="5">
      <x:c r="A5" s="68" t="str">
        <x:v>CHG-01</x:v>
      </x:c>
      <x:c r="B5" s="52"/>
      <x:c r="C5" s="52"/>
      <x:c r="D5" s="52"/>
      <x:c r="E5" s="52"/>
      <x:c r="F5" s="52"/>
      <x:c r="G5" s="52"/>
      <x:c r="H5" s="52"/>
      <x:c r="I5" s="69"/>
    </x:row>
    <x:row r="6">
      <x:c r="A6" s="68" t="str">
        <x:v>CHG-02</x:v>
      </x:c>
      <x:c r="B6" s="52"/>
      <x:c r="C6" s="52"/>
      <x:c r="D6" s="52"/>
      <x:c r="E6" s="52"/>
      <x:c r="F6" s="52"/>
      <x:c r="G6" s="52"/>
      <x:c r="H6" s="52"/>
      <x:c r="I6" s="69"/>
    </x:row>
    <x:row r="7">
      <x:c r="A7" s="68" t="str">
        <x:v>CHG-03</x:v>
      </x:c>
      <x:c r="B7" s="52"/>
      <x:c r="C7" s="52"/>
      <x:c r="D7" s="52"/>
      <x:c r="E7" s="52"/>
      <x:c r="F7" s="52"/>
      <x:c r="G7" s="52"/>
      <x:c r="H7" s="52"/>
      <x:c r="I7" s="69"/>
    </x:row>
    <x:row r="8">
      <x:c r="A8" s="68" t="str">
        <x:v>CHG-04</x:v>
      </x:c>
      <x:c r="B8" s="52"/>
      <x:c r="C8" s="52"/>
      <x:c r="D8" s="52"/>
      <x:c r="E8" s="52"/>
      <x:c r="F8" s="52"/>
      <x:c r="G8" s="52"/>
      <x:c r="H8" s="52"/>
      <x:c r="I8" s="69"/>
    </x:row>
    <x:row r="9">
      <x:c r="A9" s="68" t="str">
        <x:v>CHG-05</x:v>
      </x:c>
      <x:c r="B9" s="52"/>
      <x:c r="C9" s="52"/>
      <x:c r="D9" s="52"/>
      <x:c r="E9" s="52"/>
      <x:c r="F9" s="52"/>
      <x:c r="G9" s="52"/>
      <x:c r="H9" s="52"/>
      <x:c r="I9" s="69"/>
    </x:row>
    <x:row r="10">
      <x:c r="A10" s="68" t="str">
        <x:v>CHG-06</x:v>
      </x:c>
      <x:c r="B10" s="52"/>
      <x:c r="C10" s="52"/>
      <x:c r="D10" s="52"/>
      <x:c r="E10" s="52"/>
      <x:c r="F10" s="52"/>
      <x:c r="G10" s="52"/>
      <x:c r="H10" s="52"/>
      <x:c r="I10" s="69"/>
    </x:row>
    <x:row r="11">
      <x:c r="A11" s="68" t="str">
        <x:v>CHG-07</x:v>
      </x:c>
      <x:c r="B11" s="52"/>
      <x:c r="C11" s="52"/>
      <x:c r="D11" s="52"/>
      <x:c r="E11" s="52"/>
      <x:c r="F11" s="52"/>
      <x:c r="G11" s="52"/>
      <x:c r="H11" s="52"/>
      <x:c r="I11" s="69"/>
    </x:row>
    <x:row r="12">
      <x:c r="A12" s="68" t="str">
        <x:v>CHG-08</x:v>
      </x:c>
      <x:c r="B12" s="52"/>
      <x:c r="C12" s="52"/>
      <x:c r="D12" s="52"/>
      <x:c r="E12" s="52"/>
      <x:c r="F12" s="52"/>
      <x:c r="G12" s="52"/>
      <x:c r="H12" s="52"/>
      <x:c r="I12" s="69"/>
    </x:row>
    <x:row r="13">
      <x:c r="A13" s="68" t="str">
        <x:v>CHG-09</x:v>
      </x:c>
      <x:c r="B13" s="52"/>
      <x:c r="C13" s="52"/>
      <x:c r="D13" s="52"/>
      <x:c r="E13" s="52"/>
      <x:c r="F13" s="52"/>
      <x:c r="G13" s="52"/>
      <x:c r="H13" s="52"/>
      <x:c r="I13" s="69"/>
    </x:row>
    <x:row r="14">
      <x:c r="A14" s="68" t="str">
        <x:v>CHG-10</x:v>
      </x:c>
      <x:c r="B14" s="52"/>
      <x:c r="C14" s="52"/>
      <x:c r="D14" s="52"/>
      <x:c r="E14" s="52"/>
      <x:c r="F14" s="52"/>
      <x:c r="G14" s="52"/>
      <x:c r="H14" s="52"/>
      <x:c r="I14" s="69"/>
    </x:row>
    <x:row r="15">
      <x:c r="A15" s="68" t="str">
        <x:v>CHG-11</x:v>
      </x:c>
      <x:c r="B15" s="52"/>
      <x:c r="C15" s="52"/>
      <x:c r="D15" s="52"/>
      <x:c r="E15" s="52"/>
      <x:c r="F15" s="52"/>
      <x:c r="G15" s="52"/>
      <x:c r="H15" s="52"/>
      <x:c r="I15" s="69"/>
    </x:row>
    <x:row r="16">
      <x:c r="A16" s="68" t="str">
        <x:v>CHG-12</x:v>
      </x:c>
      <x:c r="B16" s="52"/>
      <x:c r="C16" s="52"/>
      <x:c r="D16" s="52"/>
      <x:c r="E16" s="52"/>
      <x:c r="F16" s="52"/>
      <x:c r="G16" s="52"/>
      <x:c r="H16" s="52"/>
      <x:c r="I16" s="69"/>
    </x:row>
    <x:row r="17">
      <x:c r="A17" s="68" t="str">
        <x:v>CHG-13</x:v>
      </x:c>
      <x:c r="B17" s="52"/>
      <x:c r="C17" s="52"/>
      <x:c r="D17" s="52"/>
      <x:c r="E17" s="52"/>
      <x:c r="F17" s="52"/>
      <x:c r="G17" s="52"/>
      <x:c r="H17" s="52"/>
      <x:c r="I17" s="69"/>
    </x:row>
    <x:row r="18">
      <x:c r="A18" s="68" t="str">
        <x:v>CHG-14</x:v>
      </x:c>
      <x:c r="B18" s="52"/>
      <x:c r="C18" s="52"/>
      <x:c r="D18" s="52"/>
      <x:c r="E18" s="52"/>
      <x:c r="F18" s="52"/>
      <x:c r="G18" s="52"/>
      <x:c r="H18" s="52"/>
      <x:c r="I18" s="69"/>
    </x:row>
    <x:row r="19">
      <x:c r="A19" s="68" t="str">
        <x:v>CHG-15</x:v>
      </x:c>
      <x:c r="B19" s="52"/>
      <x:c r="C19" s="52"/>
      <x:c r="D19" s="52"/>
      <x:c r="E19" s="52"/>
      <x:c r="F19" s="52"/>
      <x:c r="G19" s="52"/>
      <x:c r="H19" s="52"/>
      <x:c r="I19" s="69"/>
    </x:row>
    <x:row r="20">
      <x:c r="A20" s="68" t="str">
        <x:v>CHG-16</x:v>
      </x:c>
      <x:c r="B20" s="52"/>
      <x:c r="C20" s="52"/>
      <x:c r="D20" s="52"/>
      <x:c r="E20" s="52"/>
      <x:c r="F20" s="52"/>
      <x:c r="G20" s="52"/>
      <x:c r="H20" s="52"/>
      <x:c r="I20" s="69"/>
    </x:row>
    <x:row r="21">
      <x:c r="A21" s="68" t="str">
        <x:v>CHG-17</x:v>
      </x:c>
      <x:c r="B21" s="52"/>
      <x:c r="C21" s="52"/>
      <x:c r="D21" s="52"/>
      <x:c r="E21" s="52"/>
      <x:c r="F21" s="52"/>
      <x:c r="G21" s="52"/>
      <x:c r="H21" s="52"/>
      <x:c r="I21" s="69"/>
    </x:row>
    <x:row r="22">
      <x:c r="A22" s="68" t="str">
        <x:v>CHG-18</x:v>
      </x:c>
      <x:c r="B22" s="52"/>
      <x:c r="C22" s="52"/>
      <x:c r="D22" s="52"/>
      <x:c r="E22" s="52"/>
      <x:c r="F22" s="52"/>
      <x:c r="G22" s="52"/>
      <x:c r="H22" s="52"/>
      <x:c r="I22" s="69"/>
    </x:row>
    <x:row r="23">
      <x:c r="A23" s="68" t="str">
        <x:v>CHG-19</x:v>
      </x:c>
      <x:c r="B23" s="52"/>
      <x:c r="C23" s="52"/>
      <x:c r="D23" s="52"/>
      <x:c r="E23" s="52"/>
      <x:c r="F23" s="52"/>
      <x:c r="G23" s="52"/>
      <x:c r="H23" s="52"/>
      <x:c r="I23" s="69"/>
    </x:row>
    <x:row r="24">
      <x:c r="A24" s="70" t="str">
        <x:v>CHG-20</x:v>
      </x:c>
      <x:c r="B24" s="55"/>
      <x:c r="C24" s="55"/>
      <x:c r="D24" s="55"/>
      <x:c r="E24" s="55"/>
      <x:c r="F24" s="55"/>
      <x:c r="G24" s="55"/>
      <x:c r="H24" s="55"/>
      <x:c r="I24" s="71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22" hidden="0" customWidth="1"/>
    <x:col min="4" max="4" width="48" hidden="0" customWidth="1"/>
    <x:col min="5" max="5" width="48" hidden="0" customWidth="1"/>
  </x:cols>
  <x:sheetData>
    <x:row r="1" ht="30" customHeight="1">
      <x:c r="A1" s="26" t="str">
        <x:v>CONSTANTES DEL PAQUETE</x:v>
      </x:c>
      <x:c r="B1" s="26" t="str">
        <x:v>CONSTANTES DEL PAQUETE</x:v>
      </x:c>
      <x:c r="C1" s="26" t="str">
        <x:v>CONSTANTES DEL PAQUETE</x:v>
      </x:c>
      <x:c r="D1" s="26" t="str">
        <x:v>CONSTANTES DEL PAQUETE</x:v>
      </x:c>
      <x:c r="E1" s="26" t="str">
        <x:v>CONSTANTES DEL PAQUETE</x:v>
      </x:c>
    </x:row>
    <x:row r="2" ht="34" customHeight="1">
      <x:c r="A2" s="29" t="str">
        <x:v>Fuente de verdad visible para fórmulas; cambios materiales requieren CAMBIOS + ConfigRevision.</x:v>
      </x:c>
      <x:c r="B2" s="29" t="str">
        <x:v>Fuente de verdad visible para fórmulas; cambios materiales requieren CAMBIOS + ConfigRevision.</x:v>
      </x:c>
      <x:c r="C2" s="29" t="str">
        <x:v>Fuente de verdad visible para fórmulas; cambios materiales requieren CAMBIOS + ConfigRevision.</x:v>
      </x:c>
      <x:c r="D2" s="29" t="str">
        <x:v>Fuente de verdad visible para fórmulas; cambios materiales requieren CAMBIOS + ConfigRevision.</x:v>
      </x:c>
      <x:c r="E2" s="29" t="str">
        <x:v>Fuente de verdad visible para fórmulas; cambios materiales requieren CAMBIOS + ConfigRevision.</x:v>
      </x:c>
    </x:row>
    <x:row r="4" ht="34" customHeight="1">
      <x:c r="A4" s="13" t="str">
        <x:v>Key</x:v>
      </x:c>
      <x:c r="B4" s="32" t="str">
        <x:v>Value</x:v>
      </x:c>
      <x:c r="C4" s="32" t="str">
        <x:v>Unit</x:v>
      </x:c>
      <x:c r="D4" s="32" t="str">
        <x:v>Source</x:v>
      </x:c>
      <x:c r="E4" s="14" t="str">
        <x:v>Purpose</x:v>
      </x:c>
    </x:row>
    <x:row r="5">
      <x:c r="A5" s="81" t="str">
        <x:v>T8_READY_ERROR_RPM</x:v>
      </x:c>
      <x:c r="B5" s="82" t="n">
        <x:v>100</x:v>
      </x:c>
      <x:c r="C5" s="83" t="str">
        <x:v>RPM</x:v>
      </x:c>
      <x:c r="D5" s="83" t="str">
        <x:v>05 §13 T8.1 / plan final §8</x:v>
      </x:c>
      <x:c r="E5" s="84" t="str">
        <x:v>Gate</x:v>
      </x:c>
    </x:row>
    <x:row r="6">
      <x:c r="A6" s="85" t="str">
        <x:v>T8_READY_DWELL_MS</x:v>
      </x:c>
      <x:c r="B6" s="50" t="n">
        <x:v>250</x:v>
      </x:c>
      <x:c r="C6" s="51" t="str">
        <x:v>ms</x:v>
      </x:c>
      <x:c r="D6" s="51" t="str">
        <x:v>05 §13 T8.1 / plan final §8</x:v>
      </x:c>
      <x:c r="E6" s="22" t="str">
        <x:v>Gate</x:v>
      </x:c>
    </x:row>
    <x:row r="7">
      <x:c r="A7" s="85" t="str">
        <x:v>SHOOTER_MAX_SAFE_RPM</x:v>
      </x:c>
      <x:c r="B7" s="50" t="n">
        <x:v>6000</x:v>
      </x:c>
      <x:c r="C7" s="51" t="str">
        <x:v>RPM</x:v>
      </x:c>
      <x:c r="D7" s="51" t="str">
        <x:v>LowAltitudeConstants</x:v>
      </x:c>
      <x:c r="E7" s="22" t="str">
        <x:v>Overspeed fault</x:v>
      </x:c>
    </x:row>
    <x:row r="8">
      <x:c r="A8" s="85" t="str">
        <x:v>SYSTEMCHECK_TARGET_RPM</x:v>
      </x:c>
      <x:c r="B8" s="50" t="n">
        <x:v>1000</x:v>
      </x:c>
      <x:c r="C8" s="51" t="str">
        <x:v>RPM</x:v>
      </x:c>
      <x:c r="D8" s="51" t="str">
        <x:v>SystemCheckOpMode</x:v>
      </x:c>
      <x:c r="E8" s="22" t="str">
        <x:v>Primer nivel</x:v>
      </x:c>
    </x:row>
    <x:row r="9">
      <x:c r="A9" s="85" t="str">
        <x:v>SYSTEMCHECK_MAX_POWER</x:v>
      </x:c>
      <x:c r="B9" s="50" t="n">
        <x:v>0.75</x:v>
      </x:c>
      <x:c r="C9" s="51" t="str">
        <x:v>power</x:v>
      </x:c>
      <x:c r="D9" s="51" t="str">
        <x:v>SystemCheckOpMode</x:v>
      </x:c>
      <x:c r="E9" s="22" t="str">
        <x:v>Ceiling commissioning</x:v>
      </x:c>
    </x:row>
    <x:row r="10">
      <x:c r="A10" s="85" t="str">
        <x:v>SYSTEMCHECK_PULSE_MS</x:v>
      </x:c>
      <x:c r="B10" s="50" t="n">
        <x:v>3000</x:v>
      </x:c>
      <x:c r="C10" s="51" t="str">
        <x:v>ms</x:v>
      </x:c>
      <x:c r="D10" s="51" t="str">
        <x:v>SystemCheckOpMode</x:v>
      </x:c>
      <x:c r="E10" s="22" t="str">
        <x:v>Autocorte</x:v>
      </x:c>
    </x:row>
    <x:row r="11">
      <x:c r="A11" s="85" t="str">
        <x:v>SYSTEMCHECK_ENCODER_TIMEOUT_MS</x:v>
      </x:c>
      <x:c r="B11" s="50" t="n">
        <x:v>150</x:v>
      </x:c>
      <x:c r="C11" s="51" t="str">
        <x:v>ms</x:v>
      </x:c>
      <x:c r="D11" s="51" t="str">
        <x:v>SystemCheckOpMode</x:v>
      </x:c>
      <x:c r="E11" s="22" t="str">
        <x:v>Watchdog inicial</x:v>
      </x:c>
    </x:row>
    <x:row r="12">
      <x:c r="A12" s="85" t="str">
        <x:v>SHOOTER_STALL_TIMEOUT_MS</x:v>
      </x:c>
      <x:c r="B12" s="50" t="n">
        <x:v>2000</x:v>
      </x:c>
      <x:c r="C12" s="51" t="str">
        <x:v>ms</x:v>
      </x:c>
      <x:c r="D12" s="51" t="str">
        <x:v>LowAltitudeConstants</x:v>
      </x:c>
      <x:c r="E12" s="22" t="str">
        <x:v>Fault encoder</x:v>
      </x:c>
    </x:row>
    <x:row r="13">
      <x:c r="A13" s="85" t="str">
        <x:v>MOTOR_TICKS_PER_REV</x:v>
      </x:c>
      <x:c r="B13" s="50" t="n">
        <x:v>28</x:v>
      </x:c>
      <x:c r="C13" s="51" t="str">
        <x:v>ticks/rev motor</x:v>
      </x:c>
      <x:c r="D13" s="51" t="str">
        <x:v>LowAltitudeConstants</x:v>
      </x:c>
      <x:c r="E13" s="22" t="str">
        <x:v>Conversión</x:v>
      </x:c>
    </x:row>
    <x:row r="14">
      <x:c r="A14" s="85" t="str">
        <x:v>SHOOTER_GEAR_RATIO</x:v>
      </x:c>
      <x:c r="B14" s="50" t="n">
        <x:v>2</x:v>
      </x:c>
      <x:c r="C14" s="51" t="str">
        <x:v>shooter/motor</x:v>
      </x:c>
      <x:c r="D14" s="51" t="str">
        <x:v>LowAltitudeConstants</x:v>
      </x:c>
      <x:c r="E14" s="22" t="str">
        <x:v>Conversión</x:v>
      </x:c>
    </x:row>
    <x:row r="15">
      <x:c r="A15" s="85" t="str">
        <x:v>SHOOTER_MOTOR</x:v>
      </x:c>
      <x:c r="B15" s="50" t="str">
        <x:v>Shooter</x:v>
      </x:c>
      <x:c r="C15" s="51" t="str">
        <x:v>mapping RC</x:v>
      </x:c>
      <x:c r="D15" s="51" t="str">
        <x:v>RobotMap</x:v>
      </x:c>
      <x:c r="E15" s="22" t="str">
        <x:v>Hardware</x:v>
      </x:c>
    </x:row>
    <x:row r="16">
      <x:c r="A16" s="85" t="str">
        <x:v>TARGET_1</x:v>
      </x:c>
      <x:c r="B16" s="50" t="n">
        <x:v>1000</x:v>
      </x:c>
      <x:c r="C16" s="51" t="str">
        <x:v>RPM</x:v>
      </x:c>
      <x:c r="D16" s="51" t="str">
        <x:v>Instrucción usuario</x:v>
      </x:c>
      <x:c r="E16" s="22" t="str">
        <x:v>Secuencia T8.1</x:v>
      </x:c>
    </x:row>
    <x:row r="17">
      <x:c r="A17" s="85" t="str">
        <x:v>TARGET_2</x:v>
      </x:c>
      <x:c r="B17" s="50" t="n">
        <x:v>1500</x:v>
      </x:c>
      <x:c r="C17" s="51" t="str">
        <x:v>RPM</x:v>
      </x:c>
      <x:c r="D17" s="51" t="str">
        <x:v>Instrucción usuario</x:v>
      </x:c>
      <x:c r="E17" s="22" t="str">
        <x:v>Secuencia T8.1</x:v>
      </x:c>
    </x:row>
    <x:row r="18">
      <x:c r="A18" s="85" t="str">
        <x:v>TARGET_3</x:v>
      </x:c>
      <x:c r="B18" s="50" t="n">
        <x:v>2000</x:v>
      </x:c>
      <x:c r="C18" s="51" t="str">
        <x:v>RPM</x:v>
      </x:c>
      <x:c r="D18" s="51" t="str">
        <x:v>Instrucción usuario</x:v>
      </x:c>
      <x:c r="E18" s="22" t="str">
        <x:v>Secuencia T8.1</x:v>
      </x:c>
    </x:row>
    <x:row r="19">
      <x:c r="A19" s="85" t="str">
        <x:v>TARGET_4</x:v>
      </x:c>
      <x:c r="B19" s="50" t="n">
        <x:v>2450</x:v>
      </x:c>
      <x:c r="C19" s="51" t="str">
        <x:v>RPM</x:v>
      </x:c>
      <x:c r="D19" s="51" t="str">
        <x:v>Instrucción usuario</x:v>
      </x:c>
      <x:c r="E19" s="22" t="str">
        <x:v>Secuencia T8.1</x:v>
      </x:c>
    </x:row>
    <x:row r="20">
      <x:c r="A20" s="86" t="str">
        <x:v>TARGET_5</x:v>
      </x:c>
      <x:c r="B20" s="87" t="n">
        <x:v>2900</x:v>
      </x:c>
      <x:c r="C20" s="88" t="str">
        <x:v>RPM</x:v>
      </x:c>
      <x:c r="D20" s="88" t="str">
        <x:v>Instrucción usuario</x:v>
      </x:c>
      <x:c r="E20" s="89" t="str">
        <x:v>Secuencia T8.1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42" hidden="0" customWidth="1"/>
    <x:col min="31" max="31" width="42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30" customHeight="1">
      <x:c r="A1" s="26" t="str">
        <x:v>T8.1 — INTENTOS DE CONTROL DE VELOCIDAD</x:v>
      </x:c>
      <x:c r="B1" s="26" t="str">
        <x:v>T8.1 — INTENTOS DE CONTROL DE VELOCIDAD</x:v>
      </x:c>
      <x:c r="C1" s="26" t="str">
        <x:v>T8.1 — INTENTOS DE CONTROL DE VELOCIDAD</x:v>
      </x:c>
      <x:c r="D1" s="26" t="str">
        <x:v>T8.1 — INTENTOS DE CONTROL DE VELOCIDAD</x:v>
      </x:c>
      <x:c r="E1" s="26" t="str">
        <x:v>T8.1 — INTENTOS DE CONTROL DE VELOCIDAD</x:v>
      </x:c>
      <x:c r="F1" s="26" t="str">
        <x:v>T8.1 — INTENTOS DE CONTROL DE VELOCIDAD</x:v>
      </x:c>
      <x:c r="G1" s="26" t="str">
        <x:v>T8.1 — INTENTOS DE CONTROL DE VELOCIDAD</x:v>
      </x:c>
      <x:c r="H1" s="26" t="str">
        <x:v>T8.1 — INTENTOS DE CONTROL DE VELOCIDAD</x:v>
      </x:c>
      <x:c r="I1" s="26" t="str">
        <x:v>T8.1 — INTENTOS DE CONTROL DE VELOCIDAD</x:v>
      </x:c>
      <x:c r="J1" s="26" t="str">
        <x:v>T8.1 — INTENTOS DE CONTROL DE VELOCIDAD</x:v>
      </x:c>
      <x:c r="K1" s="26" t="str">
        <x:v>T8.1 — INTENTOS DE CONTROL DE VELOCIDAD</x:v>
      </x:c>
      <x:c r="L1" s="26" t="str">
        <x:v>T8.1 — INTENTOS DE CONTROL DE VELOCIDAD</x:v>
      </x:c>
      <x:c r="M1" s="26" t="str">
        <x:v>T8.1 — INTENTOS DE CONTROL DE VELOCIDAD</x:v>
      </x:c>
      <x:c r="N1" s="26" t="str">
        <x:v>T8.1 — INTENTOS DE CONTROL DE VELOCIDAD</x:v>
      </x:c>
      <x:c r="O1" s="26" t="str">
        <x:v>T8.1 — INTENTOS DE CONTROL DE VELOCIDAD</x:v>
      </x:c>
      <x:c r="P1" s="26" t="str">
        <x:v>T8.1 — INTENTOS DE CONTROL DE VELOCIDAD</x:v>
      </x:c>
      <x:c r="Q1" s="26" t="str">
        <x:v>T8.1 — INTENTOS DE CONTROL DE VELOCIDAD</x:v>
      </x:c>
      <x:c r="R1" s="26" t="str">
        <x:v>T8.1 — INTENTOS DE CONTROL DE VELOCIDAD</x:v>
      </x:c>
      <x:c r="S1" s="26" t="str">
        <x:v>T8.1 — INTENTOS DE CONTROL DE VELOCIDAD</x:v>
      </x:c>
      <x:c r="T1" s="26" t="str">
        <x:v>T8.1 — INTENTOS DE CONTROL DE VELOCIDAD</x:v>
      </x:c>
      <x:c r="U1" s="26" t="str">
        <x:v>T8.1 — INTENTOS DE CONTROL DE VELOCIDAD</x:v>
      </x:c>
      <x:c r="V1" s="26" t="str">
        <x:v>T8.1 — INTENTOS DE CONTROL DE VELOCIDAD</x:v>
      </x:c>
      <x:c r="W1" s="26" t="str">
        <x:v>T8.1 — INTENTOS DE CONTROL DE VELOCIDAD</x:v>
      </x:c>
      <x:c r="X1" s="26" t="str">
        <x:v>T8.1 — INTENTOS DE CONTROL DE VELOCIDAD</x:v>
      </x:c>
      <x:c r="Y1" s="26" t="str">
        <x:v>T8.1 — INTENTOS DE CONTROL DE VELOCIDAD</x:v>
      </x:c>
      <x:c r="Z1" s="26" t="str">
        <x:v>T8.1 — INTENTOS DE CONTROL DE VELOCIDAD</x:v>
      </x:c>
      <x:c r="AA1" s="26" t="str">
        <x:v>T8.1 — INTENTOS DE CONTROL DE VELOCIDAD</x:v>
      </x:c>
      <x:c r="AB1" s="26" t="str">
        <x:v>T8.1 — INTENTOS DE CONTROL DE VELOCIDAD</x:v>
      </x:c>
      <x:c r="AC1" s="26" t="str">
        <x:v>T8.1 — INTENTOS DE CONTROL DE VELOCIDAD</x:v>
      </x:c>
      <x:c r="AD1" s="26" t="str">
        <x:v>T8.1 — INTENTOS DE CONTROL DE VELOCIDAD</x:v>
      </x:c>
      <x:c r="AE1" s="26" t="str">
        <x:v>T8.1 — INTENTOS DE CONTROL DE VELOCIDAD</x:v>
      </x:c>
      <x:c r="AF1" s="26" t="str">
        <x:v>T8.1 — INTENTOS DE CONTROL DE VELOCIDAD</x:v>
      </x:c>
      <x:c r="AG1" s="26" t="str">
        <x:v>T8.1 — INTENTOS DE CONTROL DE VELOCIDAD</x:v>
      </x:c>
      <x:c r="AH1" s="26" t="str">
        <x:v>T8.1 — INTENTOS DE CONTROL DE VELOCIDAD</x:v>
      </x:c>
    </x:row>
    <x:row r="2" ht="34" customHeight="1">
      <x:c r="A2" s="29" t="str">
        <x:v>Una fila por intento real. No avanzar al siguiente target sin confirmación humana.</x:v>
      </x:c>
      <x:c r="B2" s="29" t="str">
        <x:v>Una fila por intento real. No avanzar al siguiente target sin confirmación humana.</x:v>
      </x:c>
      <x:c r="C2" s="29" t="str">
        <x:v>Una fila por intento real. No avanzar al siguiente target sin confirmación humana.</x:v>
      </x:c>
      <x:c r="D2" s="29" t="str">
        <x:v>Una fila por intento real. No avanzar al siguiente target sin confirmación humana.</x:v>
      </x:c>
      <x:c r="E2" s="29" t="str">
        <x:v>Una fila por intento real. No avanzar al siguiente target sin confirmación humana.</x:v>
      </x:c>
      <x:c r="F2" s="29" t="str">
        <x:v>Una fila por intento real. No avanzar al siguiente target sin confirmación humana.</x:v>
      </x:c>
      <x:c r="G2" s="29" t="str">
        <x:v>Una fila por intento real. No avanzar al siguiente target sin confirmación humana.</x:v>
      </x:c>
      <x:c r="H2" s="29" t="str">
        <x:v>Una fila por intento real. No avanzar al siguiente target sin confirmación humana.</x:v>
      </x:c>
      <x:c r="I2" s="29" t="str">
        <x:v>Una fila por intento real. No avanzar al siguiente target sin confirmación humana.</x:v>
      </x:c>
      <x:c r="J2" s="29" t="str">
        <x:v>Una fila por intento real. No avanzar al siguiente target sin confirmación humana.</x:v>
      </x:c>
      <x:c r="K2" s="29" t="str">
        <x:v>Una fila por intento real. No avanzar al siguiente target sin confirmación humana.</x:v>
      </x:c>
      <x:c r="L2" s="29" t="str">
        <x:v>Una fila por intento real. No avanzar al siguiente target sin confirmación humana.</x:v>
      </x:c>
      <x:c r="M2" s="29" t="str">
        <x:v>Una fila por intento real. No avanzar al siguiente target sin confirmación humana.</x:v>
      </x:c>
      <x:c r="N2" s="29" t="str">
        <x:v>Una fila por intento real. No avanzar al siguiente target sin confirmación humana.</x:v>
      </x:c>
      <x:c r="O2" s="29" t="str">
        <x:v>Una fila por intento real. No avanzar al siguiente target sin confirmación humana.</x:v>
      </x:c>
      <x:c r="P2" s="29" t="str">
        <x:v>Una fila por intento real. No avanzar al siguiente target sin confirmación humana.</x:v>
      </x:c>
      <x:c r="Q2" s="29" t="str">
        <x:v>Una fila por intento real. No avanzar al siguiente target sin confirmación humana.</x:v>
      </x:c>
      <x:c r="R2" s="29" t="str">
        <x:v>Una fila por intento real. No avanzar al siguiente target sin confirmación humana.</x:v>
      </x:c>
      <x:c r="S2" s="29" t="str">
        <x:v>Una fila por intento real. No avanzar al siguiente target sin confirmación humana.</x:v>
      </x:c>
      <x:c r="T2" s="29" t="str">
        <x:v>Una fila por intento real. No avanzar al siguiente target sin confirmación humana.</x:v>
      </x:c>
      <x:c r="U2" s="29" t="str">
        <x:v>Una fila por intento real. No avanzar al siguiente target sin confirmación humana.</x:v>
      </x:c>
      <x:c r="V2" s="29" t="str">
        <x:v>Una fila por intento real. No avanzar al siguiente target sin confirmación humana.</x:v>
      </x:c>
      <x:c r="W2" s="29" t="str">
        <x:v>Una fila por intento real. No avanzar al siguiente target sin confirmación humana.</x:v>
      </x:c>
      <x:c r="X2" s="29" t="str">
        <x:v>Una fila por intento real. No avanzar al siguiente target sin confirmación humana.</x:v>
      </x:c>
      <x:c r="Y2" s="29" t="str">
        <x:v>Una fila por intento real. No avanzar al siguiente target sin confirmación humana.</x:v>
      </x:c>
      <x:c r="Z2" s="29" t="str">
        <x:v>Una fila por intento real. No avanzar al siguiente target sin confirmación humana.</x:v>
      </x:c>
      <x:c r="AA2" s="29" t="str">
        <x:v>Una fila por intento real. No avanzar al siguiente target sin confirmación humana.</x:v>
      </x:c>
      <x:c r="AB2" s="29" t="str">
        <x:v>Una fila por intento real. No avanzar al siguiente target sin confirmación humana.</x:v>
      </x:c>
      <x:c r="AC2" s="29" t="str">
        <x:v>Una fila por intento real. No avanzar al siguiente target sin confirmación humana.</x:v>
      </x:c>
      <x:c r="AD2" s="29" t="str">
        <x:v>Una fila por intento real. No avanzar al siguiente target sin confirmación humana.</x:v>
      </x:c>
      <x:c r="AE2" s="29" t="str">
        <x:v>Una fila por intento real. No avanzar al siguiente target sin confirmación humana.</x:v>
      </x:c>
      <x:c r="AF2" s="29" t="str">
        <x:v>Una fila por intento real. No avanzar al siguiente target sin confirmación humana.</x:v>
      </x:c>
      <x:c r="AG2" s="29" t="str">
        <x:v>Una fila por intento real. No avanzar al siguiente target sin confirmación humana.</x:v>
      </x:c>
      <x:c r="AH2" s="29" t="str">
        <x:v>Una fila por intento real. No avanzar al siguiente target sin confirmación humana.</x:v>
      </x:c>
    </x:row>
    <x:row r="4" ht="34" customHeight="1">
      <x:c r="A4" s="19" t="str">
        <x:v>AttemptId</x:v>
      </x:c>
      <x:c r="B4" s="38" t="str">
        <x:v>Sequence</x:v>
      </x:c>
      <x:c r="C4" s="38" t="str">
        <x:v>TargetRpm</x:v>
      </x:c>
      <x:c r="D4" s="38" t="str">
        <x:v>ConfigRevision</x:v>
      </x:c>
      <x:c r="E4" s="38" t="str">
        <x:v>Status</x:v>
      </x:c>
      <x:c r="F4" s="38" t="str">
        <x:v>OpMode</x:v>
      </x:c>
      <x:c r="G4" s="38" t="str">
        <x:v>APK SHA-256</x:v>
      </x:c>
      <x:c r="H4" s="38" t="str">
        <x:v>TimestampLocal</x:v>
      </x:c>
      <x:c r="I4" s="38" t="str">
        <x:v>Operator</x:v>
      </x:c>
      <x:c r="J4" s="38" t="str">
        <x:v>SafetyOperator</x:v>
      </x:c>
      <x:c r="K4" s="38" t="str">
        <x:v>NoPieces</x:v>
      </x:c>
      <x:c r="L4" s="38" t="str">
        <x:v>FeederIntakeZero</x:v>
      </x:c>
      <x:c r="M4" s="38" t="str">
        <x:v>TurretNotArmed</x:v>
      </x:c>
      <x:c r="N4" s="38" t="str">
        <x:v>StartV</x:v>
      </x:c>
      <x:c r="O4" s="38" t="str">
        <x:v>EndV</x:v>
      </x:c>
      <x:c r="P4" s="38" t="str">
        <x:v>MinV</x:v>
      </x:c>
      <x:c r="Q4" s="38" t="str">
        <x:v>StartTicks</x:v>
      </x:c>
      <x:c r="R4" s="38" t="str">
        <x:v>EndTicks</x:v>
      </x:c>
      <x:c r="S4" s="38" t="str">
        <x:v>DurationMs</x:v>
      </x:c>
      <x:c r="T4" s="38" t="str">
        <x:v>PeakRpm</x:v>
      </x:c>
      <x:c r="U4" s="38" t="str">
        <x:v>MeasuredRpmBestHold</x:v>
      </x:c>
      <x:c r="V4" s="38" t="str">
        <x:v>MaxReadyHoldMs</x:v>
      </x:c>
      <x:c r="W4" s="38" t="str">
        <x:v>TimeToToleranceMs</x:v>
      </x:c>
      <x:c r="X4" s="38" t="str">
        <x:v>OverspeedObserved</x:v>
      </x:c>
      <x:c r="Y4" s="38" t="str">
        <x:v>FinalPower</x:v>
      </x:c>
      <x:c r="Z4" s="38" t="str">
        <x:v>Health</x:v>
      </x:c>
      <x:c r="AA4" s="38" t="str">
        <x:v>Fault</x:v>
      </x:c>
      <x:c r="AB4" s="38" t="str">
        <x:v>StopConfirmed</x:v>
      </x:c>
      <x:c r="AC4" s="38" t="str">
        <x:v>Abnormality</x:v>
      </x:c>
      <x:c r="AD4" s="38" t="str">
        <x:v>EvidenceRef</x:v>
      </x:c>
      <x:c r="AE4" s="38" t="str">
        <x:v>Notes</x:v>
      </x:c>
      <x:c r="AF4" s="38" t="str">
        <x:v>RpmErrorAbs</x:v>
      </x:c>
      <x:c r="AG4" s="38" t="str">
        <x:v>OvershootRpm</x:v>
      </x:c>
      <x:c r="AH4" s="20" t="str">
        <x:v>GateStatus</x:v>
      </x:c>
    </x:row>
    <x:row r="5">
      <x:c r="A5" s="109" t="str">
        <x:v>T8-1000-01</x:v>
      </x:c>
      <x:c r="B5" s="52" t="n">
        <x:v>1</x:v>
      </x:c>
      <x:c r="C5" s="52" t="n">
        <x:v>1000</x:v>
      </x:c>
      <x:c r="D5" s="52" t="str">
        <x:v>R1</x:v>
      </x:c>
      <x:c r="E5" s="50" t="str">
        <x:f>AH5</x:f>
        <x:v>FAIL</x:v>
      </x:c>
      <x:c r="F5" s="52" t="str">
        <x:v>SYSTEM CHECK and TUNING</x:v>
      </x:c>
      <x:c r="G5" s="52"/>
      <x:c r="H5" s="52"/>
      <x:c r="I5" s="52"/>
      <x:c r="J5" s="52"/>
      <x:c r="K5" s="52"/>
      <x:c r="L5" s="52"/>
      <x:c r="M5" s="52"/>
      <x:c r="N5" s="53"/>
      <x:c r="O5" s="53"/>
      <x:c r="P5" s="53" t="n">
        <x:v>11.62</x:v>
      </x:c>
      <x:c r="Q5" s="52" t="n">
        <x:v>0</x:v>
      </x:c>
      <x:c r="R5" s="52" t="n">
        <x:v>-170</x:v>
      </x:c>
      <x:c r="S5" s="110" t="n">
        <x:v>3027.5</x:v>
      </x:c>
      <x:c r="T5" s="110" t="n">
        <x:v>1028.6</x:v>
      </x:c>
      <x:c r="U5" s="110"/>
      <x:c r="V5" s="110" t="n">
        <x:v>0</x:v>
      </x:c>
      <x:c r="W5" s="110"/>
      <x:c r="X5" s="52"/>
      <x:c r="Y5" s="111"/>
      <x:c r="Z5" s="52" t="str">
        <x:v>HEALTHY</x:v>
      </x:c>
      <x:c r="AA5" s="52" t="str">
        <x:v>none</x:v>
      </x:c>
      <x:c r="AB5" s="52" t="str">
        <x:v>YES</x:v>
      </x:c>
      <x:c r="AC5" s="52" t="str">
        <x:v>NO</x:v>
      </x:c>
      <x:c r="AD5" s="52" t="str">
        <x:v>CHAT-20260723-T8-1000-01</x:v>
      </x:c>
      <x:c r="AE5" s="52" t="str">
        <x:v>Operator transcription: Last result='STOPP_TIMEOUT'; encoder 0 -&gt; -170 ticks; peak=1028.6 RPM; end indicated RPM=-85.7; min battery=11.62 V; max ready hold=0.0 ms; physical stop confirmed; no anomalies reported. Final applied power was NOT supplied. Result spelling and negative encoder/end-RPM signs require confirmation against photo/video. T8.1 criterion not met because ready hold 0.0 ms &lt; 250 ms. Do not advance to 1500 RPM.</x:v>
      </x:c>
      <x:c r="AF5" s="112" t="str">
        <x:f>IF(OR(C5="",U5=""),"",ABS(U5-C5))</x:f>
      </x:c>
      <x:c r="AG5" s="112" t="n">
        <x:f>IF(OR(C5="",T5=""),"",MAX(0,T5-C5))</x:f>
        <x:v>28.59999999999991</x:v>
      </x:c>
      <x:c r="AH5" s="113" t="str">
        <x:f>IF(COUNTA(N5:AE5)=0,"NOT_RUN",IF(OR(K5&lt;&gt;"YES",L5&lt;&gt;"YES",M5&lt;&gt;"YES",X5&lt;&gt;"NO",Y5&lt;&gt;0,Z5&lt;&gt;"HEALTHY",LOWER(AA5)&lt;&gt;"none",AB5&lt;&gt;"YES",AC5&lt;&gt;"NO"),"FAIL",IF(AND(V5&gt;='CONFIG'!$B$6,AF5&lt;='CONFIG'!$B$5,AD5&lt;&gt;""),"PASS","BLOCKED")))</x:f>
        <x:v>FAIL</x:v>
      </x:c>
    </x:row>
    <x:row r="6">
      <x:c r="A6" s="109" t="str">
        <x:v>T8-1500-01</x:v>
      </x:c>
      <x:c r="B6" s="52" t="n">
        <x:v>2</x:v>
      </x:c>
      <x:c r="C6" s="52" t="n">
        <x:v>1500</x:v>
      </x:c>
      <x:c r="D6" s="52" t="str">
        <x:v>R1</x:v>
      </x:c>
      <x:c r="E6" s="50" t="str">
        <x:f>AH6</x:f>
        <x:v>NOT_RUN</x:v>
      </x:c>
      <x:c r="F6" s="52" t="str">
        <x:v>BLOCKED—no current safe owner</x:v>
      </x:c>
      <x:c r="G6" s="52"/>
      <x:c r="H6" s="52"/>
      <x:c r="I6" s="52"/>
      <x:c r="J6" s="52"/>
      <x:c r="K6" s="52"/>
      <x:c r="L6" s="52"/>
      <x:c r="M6" s="52"/>
      <x:c r="N6" s="53"/>
      <x:c r="O6" s="53"/>
      <x:c r="P6" s="53"/>
      <x:c r="Q6" s="52"/>
      <x:c r="R6" s="52"/>
      <x:c r="S6" s="110"/>
      <x:c r="T6" s="110"/>
      <x:c r="U6" s="110"/>
      <x:c r="V6" s="110"/>
      <x:c r="W6" s="110"/>
      <x:c r="X6" s="52"/>
      <x:c r="Y6" s="111"/>
      <x:c r="Z6" s="52"/>
      <x:c r="AA6" s="52"/>
      <x:c r="AB6" s="52"/>
      <x:c r="AC6" s="52"/>
      <x:c r="AD6" s="52"/>
      <x:c r="AE6" s="52"/>
      <x:c r="AF6" s="112" t="str">
        <x:f>IF(OR(C6="",U6=""),"",ABS(U6-C6))</x:f>
      </x:c>
      <x:c r="AG6" s="112" t="str">
        <x:f>IF(OR(C6="",T6=""),"",MAX(0,T6-C6))</x:f>
      </x:c>
      <x:c r="AH6" s="113" t="str">
        <x:f>IF(COUNTA(N6:AE6)=0,"NOT_RUN",IF(OR(K6&lt;&gt;"YES",L6&lt;&gt;"YES",M6&lt;&gt;"YES",X6&lt;&gt;"NO",Y6&lt;&gt;0,Z6&lt;&gt;"HEALTHY",LOWER(AA6)&lt;&gt;"none",AB6&lt;&gt;"YES",AC6&lt;&gt;"NO"),"FAIL",IF(AND(V6&gt;='CONFIG'!$B$6,AF6&lt;='CONFIG'!$B$5,AD6&lt;&gt;""),"PASS","BLOCKED")))</x:f>
        <x:v>NOT_RUN</x:v>
      </x:c>
    </x:row>
    <x:row r="7">
      <x:c r="A7" s="109" t="str">
        <x:v>T8-2000-01</x:v>
      </x:c>
      <x:c r="B7" s="52" t="n">
        <x:v>3</x:v>
      </x:c>
      <x:c r="C7" s="52" t="n">
        <x:v>2000</x:v>
      </x:c>
      <x:c r="D7" s="52" t="str">
        <x:v>R1</x:v>
      </x:c>
      <x:c r="E7" s="50" t="str">
        <x:f>AH7</x:f>
        <x:v>NOT_RUN</x:v>
      </x:c>
      <x:c r="F7" s="52" t="str">
        <x:v>BLOCKED—no current safe owner</x:v>
      </x:c>
      <x:c r="G7" s="52"/>
      <x:c r="H7" s="52"/>
      <x:c r="I7" s="52"/>
      <x:c r="J7" s="52"/>
      <x:c r="K7" s="52"/>
      <x:c r="L7" s="52"/>
      <x:c r="M7" s="52"/>
      <x:c r="N7" s="53"/>
      <x:c r="O7" s="53"/>
      <x:c r="P7" s="53"/>
      <x:c r="Q7" s="52"/>
      <x:c r="R7" s="52"/>
      <x:c r="S7" s="110"/>
      <x:c r="T7" s="110"/>
      <x:c r="U7" s="110"/>
      <x:c r="V7" s="110"/>
      <x:c r="W7" s="110"/>
      <x:c r="X7" s="52"/>
      <x:c r="Y7" s="111"/>
      <x:c r="Z7" s="52"/>
      <x:c r="AA7" s="52"/>
      <x:c r="AB7" s="52"/>
      <x:c r="AC7" s="52"/>
      <x:c r="AD7" s="52"/>
      <x:c r="AE7" s="52"/>
      <x:c r="AF7" s="112" t="str">
        <x:f>IF(OR(C7="",U7=""),"",ABS(U7-C7))</x:f>
      </x:c>
      <x:c r="AG7" s="112" t="str">
        <x:f>IF(OR(C7="",T7=""),"",MAX(0,T7-C7))</x:f>
      </x:c>
      <x:c r="AH7" s="113" t="str">
        <x:f>IF(COUNTA(N7:AE7)=0,"NOT_RUN",IF(OR(K7&lt;&gt;"YES",L7&lt;&gt;"YES",M7&lt;&gt;"YES",X7&lt;&gt;"NO",Y7&lt;&gt;0,Z7&lt;&gt;"HEALTHY",LOWER(AA7)&lt;&gt;"none",AB7&lt;&gt;"YES",AC7&lt;&gt;"NO"),"FAIL",IF(AND(V7&gt;='CONFIG'!$B$6,AF7&lt;='CONFIG'!$B$5,AD7&lt;&gt;""),"PASS","BLOCKED")))</x:f>
        <x:v>NOT_RUN</x:v>
      </x:c>
    </x:row>
    <x:row r="8">
      <x:c r="A8" s="109" t="str">
        <x:v>T8-2450-01</x:v>
      </x:c>
      <x:c r="B8" s="52" t="n">
        <x:v>4</x:v>
      </x:c>
      <x:c r="C8" s="52" t="n">
        <x:v>2450</x:v>
      </x:c>
      <x:c r="D8" s="52" t="str">
        <x:v>R1</x:v>
      </x:c>
      <x:c r="E8" s="50" t="str">
        <x:f>AH8</x:f>
        <x:v>NOT_RUN</x:v>
      </x:c>
      <x:c r="F8" s="52" t="str">
        <x:v>BLOCKED—no current safe owner</x:v>
      </x:c>
      <x:c r="G8" s="52"/>
      <x:c r="H8" s="52"/>
      <x:c r="I8" s="52"/>
      <x:c r="J8" s="52"/>
      <x:c r="K8" s="52"/>
      <x:c r="L8" s="52"/>
      <x:c r="M8" s="52"/>
      <x:c r="N8" s="53"/>
      <x:c r="O8" s="53"/>
      <x:c r="P8" s="53"/>
      <x:c r="Q8" s="52"/>
      <x:c r="R8" s="52"/>
      <x:c r="S8" s="110"/>
      <x:c r="T8" s="110"/>
      <x:c r="U8" s="110"/>
      <x:c r="V8" s="110"/>
      <x:c r="W8" s="110"/>
      <x:c r="X8" s="52"/>
      <x:c r="Y8" s="111"/>
      <x:c r="Z8" s="52"/>
      <x:c r="AA8" s="52"/>
      <x:c r="AB8" s="52"/>
      <x:c r="AC8" s="52"/>
      <x:c r="AD8" s="52"/>
      <x:c r="AE8" s="52"/>
      <x:c r="AF8" s="112" t="str">
        <x:f>IF(OR(C8="",U8=""),"",ABS(U8-C8))</x:f>
      </x:c>
      <x:c r="AG8" s="112" t="str">
        <x:f>IF(OR(C8="",T8=""),"",MAX(0,T8-C8))</x:f>
      </x:c>
      <x:c r="AH8" s="113" t="str">
        <x:f>IF(COUNTA(N8:AE8)=0,"NOT_RUN",IF(OR(K8&lt;&gt;"YES",L8&lt;&gt;"YES",M8&lt;&gt;"YES",X8&lt;&gt;"NO",Y8&lt;&gt;0,Z8&lt;&gt;"HEALTHY",LOWER(AA8)&lt;&gt;"none",AB8&lt;&gt;"YES",AC8&lt;&gt;"NO"),"FAIL",IF(AND(V8&gt;='CONFIG'!$B$6,AF8&lt;='CONFIG'!$B$5,AD8&lt;&gt;""),"PASS","BLOCKED")))</x:f>
        <x:v>NOT_RUN</x:v>
      </x:c>
    </x:row>
    <x:row r="9">
      <x:c r="A9" s="109" t="str">
        <x:v>T8-2900-01</x:v>
      </x:c>
      <x:c r="B9" s="52" t="n">
        <x:v>5</x:v>
      </x:c>
      <x:c r="C9" s="52" t="n">
        <x:v>2900</x:v>
      </x:c>
      <x:c r="D9" s="52" t="str">
        <x:v>R1</x:v>
      </x:c>
      <x:c r="E9" s="50" t="str">
        <x:f>AH9</x:f>
        <x:v>NOT_RUN</x:v>
      </x:c>
      <x:c r="F9" s="52" t="str">
        <x:v>BLOCKED—no current safe owner</x:v>
      </x:c>
      <x:c r="G9" s="52"/>
      <x:c r="H9" s="52"/>
      <x:c r="I9" s="52"/>
      <x:c r="J9" s="52"/>
      <x:c r="K9" s="52"/>
      <x:c r="L9" s="52"/>
      <x:c r="M9" s="52"/>
      <x:c r="N9" s="53"/>
      <x:c r="O9" s="53"/>
      <x:c r="P9" s="53"/>
      <x:c r="Q9" s="52"/>
      <x:c r="R9" s="52"/>
      <x:c r="S9" s="110"/>
      <x:c r="T9" s="110"/>
      <x:c r="U9" s="110"/>
      <x:c r="V9" s="110"/>
      <x:c r="W9" s="110"/>
      <x:c r="X9" s="52"/>
      <x:c r="Y9" s="111"/>
      <x:c r="Z9" s="52"/>
      <x:c r="AA9" s="52"/>
      <x:c r="AB9" s="52"/>
      <x:c r="AC9" s="52"/>
      <x:c r="AD9" s="52"/>
      <x:c r="AE9" s="52"/>
      <x:c r="AF9" s="112" t="str">
        <x:f>IF(OR(C9="",U9=""),"",ABS(U9-C9))</x:f>
      </x:c>
      <x:c r="AG9" s="112" t="str">
        <x:f>IF(OR(C9="",T9=""),"",MAX(0,T9-C9))</x:f>
      </x:c>
      <x:c r="AH9" s="113" t="str">
        <x:f>IF(COUNTA(N9:AE9)=0,"NOT_RUN",IF(OR(K9&lt;&gt;"YES",L9&lt;&gt;"YES",M9&lt;&gt;"YES",X9&lt;&gt;"NO",Y9&lt;&gt;0,Z9&lt;&gt;"HEALTHY",LOWER(AA9)&lt;&gt;"none",AB9&lt;&gt;"YES",AC9&lt;&gt;"NO"),"FAIL",IF(AND(V9&gt;='CONFIG'!$B$6,AF9&lt;='CONFIG'!$B$5,AD9&lt;&gt;""),"PASS","BLOCKED")))</x:f>
        <x:v>NOT_RUN</x:v>
      </x:c>
    </x:row>
    <x:row r="10">
      <x:c r="A10" s="109" t="str">
        <x:v>T8-REPEAT-01</x:v>
      </x:c>
      <x:c r="B10" s="52"/>
      <x:c r="C10" s="52"/>
      <x:c r="D10" s="52" t="str">
        <x:v>R1</x:v>
      </x:c>
      <x:c r="E10" s="50" t="str">
        <x:f>AH10</x:f>
        <x:v>NOT_RUN</x:v>
      </x:c>
      <x:c r="F10" s="52"/>
      <x:c r="G10" s="52"/>
      <x:c r="H10" s="52"/>
      <x:c r="I10" s="52"/>
      <x:c r="J10" s="52"/>
      <x:c r="K10" s="52"/>
      <x:c r="L10" s="52"/>
      <x:c r="M10" s="52"/>
      <x:c r="N10" s="53"/>
      <x:c r="O10" s="53"/>
      <x:c r="P10" s="53"/>
      <x:c r="Q10" s="52"/>
      <x:c r="R10" s="52"/>
      <x:c r="S10" s="110"/>
      <x:c r="T10" s="110"/>
      <x:c r="U10" s="110"/>
      <x:c r="V10" s="110"/>
      <x:c r="W10" s="110"/>
      <x:c r="X10" s="52"/>
      <x:c r="Y10" s="111"/>
      <x:c r="Z10" s="52"/>
      <x:c r="AA10" s="52"/>
      <x:c r="AB10" s="52"/>
      <x:c r="AC10" s="52"/>
      <x:c r="AD10" s="52"/>
      <x:c r="AE10" s="52"/>
      <x:c r="AF10" s="112" t="str">
        <x:f>IF(OR(C10="",U10=""),"",ABS(U10-C10))</x:f>
      </x:c>
      <x:c r="AG10" s="112" t="str">
        <x:f>IF(OR(C10="",T10=""),"",MAX(0,T10-C10))</x:f>
      </x:c>
      <x:c r="AH10" s="113" t="str">
        <x:f>IF(COUNTA(N10:AE10)=0,"NOT_RUN",IF(OR(K10&lt;&gt;"YES",L10&lt;&gt;"YES",M10&lt;&gt;"YES",X10&lt;&gt;"NO",Y10&lt;&gt;0,Z10&lt;&gt;"HEALTHY",LOWER(AA10)&lt;&gt;"none",AB10&lt;&gt;"YES",AC10&lt;&gt;"NO"),"FAIL",IF(AND(V10&gt;='CONFIG'!$B$6,AF10&lt;='CONFIG'!$B$5,AD10&lt;&gt;""),"PASS","BLOCKED")))</x:f>
        <x:v>NOT_RUN</x:v>
      </x:c>
    </x:row>
    <x:row r="11">
      <x:c r="A11" s="109" t="str">
        <x:v>T8-REPEAT-02</x:v>
      </x:c>
      <x:c r="B11" s="52"/>
      <x:c r="C11" s="52"/>
      <x:c r="D11" s="52" t="str">
        <x:v>R1</x:v>
      </x:c>
      <x:c r="E11" s="50" t="str">
        <x:f>AH11</x:f>
        <x:v>NOT_RUN</x:v>
      </x:c>
      <x:c r="F11" s="52"/>
      <x:c r="G11" s="52"/>
      <x:c r="H11" s="52"/>
      <x:c r="I11" s="52"/>
      <x:c r="J11" s="52"/>
      <x:c r="K11" s="52"/>
      <x:c r="L11" s="52"/>
      <x:c r="M11" s="52"/>
      <x:c r="N11" s="53"/>
      <x:c r="O11" s="53"/>
      <x:c r="P11" s="53"/>
      <x:c r="Q11" s="52"/>
      <x:c r="R11" s="52"/>
      <x:c r="S11" s="110"/>
      <x:c r="T11" s="110"/>
      <x:c r="U11" s="110"/>
      <x:c r="V11" s="110"/>
      <x:c r="W11" s="110"/>
      <x:c r="X11" s="52"/>
      <x:c r="Y11" s="111"/>
      <x:c r="Z11" s="52"/>
      <x:c r="AA11" s="52"/>
      <x:c r="AB11" s="52"/>
      <x:c r="AC11" s="52"/>
      <x:c r="AD11" s="52"/>
      <x:c r="AE11" s="52"/>
      <x:c r="AF11" s="112" t="str">
        <x:f>IF(OR(C11="",U11=""),"",ABS(U11-C11))</x:f>
      </x:c>
      <x:c r="AG11" s="112" t="str">
        <x:f>IF(OR(C11="",T11=""),"",MAX(0,T11-C11))</x:f>
      </x:c>
      <x:c r="AH11" s="113" t="str">
        <x:f>IF(COUNTA(N11:AE11)=0,"NOT_RUN",IF(OR(K11&lt;&gt;"YES",L11&lt;&gt;"YES",M11&lt;&gt;"YES",X11&lt;&gt;"NO",Y11&lt;&gt;0,Z11&lt;&gt;"HEALTHY",LOWER(AA11)&lt;&gt;"none",AB11&lt;&gt;"YES",AC11&lt;&gt;"NO"),"FAIL",IF(AND(V11&gt;='CONFIG'!$B$6,AF11&lt;='CONFIG'!$B$5,AD11&lt;&gt;""),"PASS","BLOCKED")))</x:f>
        <x:v>NOT_RUN</x:v>
      </x:c>
    </x:row>
    <x:row r="12">
      <x:c r="A12" s="109" t="str">
        <x:v>T8-REPEAT-03</x:v>
      </x:c>
      <x:c r="B12" s="52"/>
      <x:c r="C12" s="52"/>
      <x:c r="D12" s="52" t="str">
        <x:v>R1</x:v>
      </x:c>
      <x:c r="E12" s="50" t="str">
        <x:f>AH12</x:f>
        <x:v>NOT_RUN</x:v>
      </x:c>
      <x:c r="F12" s="52"/>
      <x:c r="G12" s="52"/>
      <x:c r="H12" s="52"/>
      <x:c r="I12" s="52"/>
      <x:c r="J12" s="52"/>
      <x:c r="K12" s="52"/>
      <x:c r="L12" s="52"/>
      <x:c r="M12" s="52"/>
      <x:c r="N12" s="53"/>
      <x:c r="O12" s="53"/>
      <x:c r="P12" s="53"/>
      <x:c r="Q12" s="52"/>
      <x:c r="R12" s="52"/>
      <x:c r="S12" s="110"/>
      <x:c r="T12" s="110"/>
      <x:c r="U12" s="110"/>
      <x:c r="V12" s="110"/>
      <x:c r="W12" s="110"/>
      <x:c r="X12" s="52"/>
      <x:c r="Y12" s="111"/>
      <x:c r="Z12" s="52"/>
      <x:c r="AA12" s="52"/>
      <x:c r="AB12" s="52"/>
      <x:c r="AC12" s="52"/>
      <x:c r="AD12" s="52"/>
      <x:c r="AE12" s="52"/>
      <x:c r="AF12" s="112" t="str">
        <x:f>IF(OR(C12="",U12=""),"",ABS(U12-C12))</x:f>
      </x:c>
      <x:c r="AG12" s="112" t="str">
        <x:f>IF(OR(C12="",T12=""),"",MAX(0,T12-C12))</x:f>
      </x:c>
      <x:c r="AH12" s="113" t="str">
        <x:f>IF(COUNTA(N12:AE12)=0,"NOT_RUN",IF(OR(K12&lt;&gt;"YES",L12&lt;&gt;"YES",M12&lt;&gt;"YES",X12&lt;&gt;"NO",Y12&lt;&gt;0,Z12&lt;&gt;"HEALTHY",LOWER(AA12)&lt;&gt;"none",AB12&lt;&gt;"YES",AC12&lt;&gt;"NO"),"FAIL",IF(AND(V12&gt;='CONFIG'!$B$6,AF12&lt;='CONFIG'!$B$5,AD12&lt;&gt;""),"PASS","BLOCKED")))</x:f>
        <x:v>NOT_RUN</x:v>
      </x:c>
    </x:row>
    <x:row r="13">
      <x:c r="A13" s="109" t="str">
        <x:v>T8-REPEAT-04</x:v>
      </x:c>
      <x:c r="B13" s="52"/>
      <x:c r="C13" s="52"/>
      <x:c r="D13" s="52" t="str">
        <x:v>R1</x:v>
      </x:c>
      <x:c r="E13" s="50" t="str">
        <x:f>AH13</x:f>
        <x:v>NOT_RUN</x:v>
      </x:c>
      <x:c r="F13" s="52"/>
      <x:c r="G13" s="52"/>
      <x:c r="H13" s="52"/>
      <x:c r="I13" s="52"/>
      <x:c r="J13" s="52"/>
      <x:c r="K13" s="52"/>
      <x:c r="L13" s="52"/>
      <x:c r="M13" s="52"/>
      <x:c r="N13" s="53"/>
      <x:c r="O13" s="53"/>
      <x:c r="P13" s="53"/>
      <x:c r="Q13" s="52"/>
      <x:c r="R13" s="52"/>
      <x:c r="S13" s="110"/>
      <x:c r="T13" s="110"/>
      <x:c r="U13" s="110"/>
      <x:c r="V13" s="110"/>
      <x:c r="W13" s="110"/>
      <x:c r="X13" s="52"/>
      <x:c r="Y13" s="111"/>
      <x:c r="Z13" s="52"/>
      <x:c r="AA13" s="52"/>
      <x:c r="AB13" s="52"/>
      <x:c r="AC13" s="52"/>
      <x:c r="AD13" s="52"/>
      <x:c r="AE13" s="52"/>
      <x:c r="AF13" s="112" t="str">
        <x:f>IF(OR(C13="",U13=""),"",ABS(U13-C13))</x:f>
      </x:c>
      <x:c r="AG13" s="112" t="str">
        <x:f>IF(OR(C13="",T13=""),"",MAX(0,T13-C13))</x:f>
      </x:c>
      <x:c r="AH13" s="113" t="str">
        <x:f>IF(COUNTA(N13:AE13)=0,"NOT_RUN",IF(OR(K13&lt;&gt;"YES",L13&lt;&gt;"YES",M13&lt;&gt;"YES",X13&lt;&gt;"NO",Y13&lt;&gt;0,Z13&lt;&gt;"HEALTHY",LOWER(AA13)&lt;&gt;"none",AB13&lt;&gt;"YES",AC13&lt;&gt;"NO"),"FAIL",IF(AND(V13&gt;='CONFIG'!$B$6,AF13&lt;='CONFIG'!$B$5,AD13&lt;&gt;""),"PASS","BLOCKED")))</x:f>
        <x:v>NOT_RUN</x:v>
      </x:c>
    </x:row>
    <x:row r="14">
      <x:c r="A14" s="109" t="str">
        <x:v>T8-REPEAT-05</x:v>
      </x:c>
      <x:c r="B14" s="52"/>
      <x:c r="C14" s="52"/>
      <x:c r="D14" s="52" t="str">
        <x:v>R1</x:v>
      </x:c>
      <x:c r="E14" s="50" t="str">
        <x:f>AH14</x:f>
        <x:v>NOT_RUN</x:v>
      </x:c>
      <x:c r="F14" s="52"/>
      <x:c r="G14" s="52"/>
      <x:c r="H14" s="52"/>
      <x:c r="I14" s="52"/>
      <x:c r="J14" s="52"/>
      <x:c r="K14" s="52"/>
      <x:c r="L14" s="52"/>
      <x:c r="M14" s="52"/>
      <x:c r="N14" s="53"/>
      <x:c r="O14" s="53"/>
      <x:c r="P14" s="53"/>
      <x:c r="Q14" s="52"/>
      <x:c r="R14" s="52"/>
      <x:c r="S14" s="110"/>
      <x:c r="T14" s="110"/>
      <x:c r="U14" s="110"/>
      <x:c r="V14" s="110"/>
      <x:c r="W14" s="110"/>
      <x:c r="X14" s="52"/>
      <x:c r="Y14" s="111"/>
      <x:c r="Z14" s="52"/>
      <x:c r="AA14" s="52"/>
      <x:c r="AB14" s="52"/>
      <x:c r="AC14" s="52"/>
      <x:c r="AD14" s="52"/>
      <x:c r="AE14" s="52"/>
      <x:c r="AF14" s="112" t="str">
        <x:f>IF(OR(C14="",U14=""),"",ABS(U14-C14))</x:f>
      </x:c>
      <x:c r="AG14" s="112" t="str">
        <x:f>IF(OR(C14="",T14=""),"",MAX(0,T14-C14))</x:f>
      </x:c>
      <x:c r="AH14" s="113" t="str">
        <x:f>IF(COUNTA(N14:AE14)=0,"NOT_RUN",IF(OR(K14&lt;&gt;"YES",L14&lt;&gt;"YES",M14&lt;&gt;"YES",X14&lt;&gt;"NO",Y14&lt;&gt;0,Z14&lt;&gt;"HEALTHY",LOWER(AA14)&lt;&gt;"none",AB14&lt;&gt;"YES",AC14&lt;&gt;"NO"),"FAIL",IF(AND(V14&gt;='CONFIG'!$B$6,AF14&lt;='CONFIG'!$B$5,AD14&lt;&gt;""),"PASS","BLOCKED")))</x:f>
        <x:v>NOT_RUN</x:v>
      </x:c>
    </x:row>
    <x:row r="15">
      <x:c r="A15" s="109" t="str">
        <x:v>T8-REPEAT-06</x:v>
      </x:c>
      <x:c r="B15" s="52"/>
      <x:c r="C15" s="52"/>
      <x:c r="D15" s="52" t="str">
        <x:v>R1</x:v>
      </x:c>
      <x:c r="E15" s="50" t="str">
        <x:f>AH15</x:f>
        <x:v>NOT_RUN</x:v>
      </x:c>
      <x:c r="F15" s="52"/>
      <x:c r="G15" s="52"/>
      <x:c r="H15" s="52"/>
      <x:c r="I15" s="52"/>
      <x:c r="J15" s="52"/>
      <x:c r="K15" s="52"/>
      <x:c r="L15" s="52"/>
      <x:c r="M15" s="52"/>
      <x:c r="N15" s="53"/>
      <x:c r="O15" s="53"/>
      <x:c r="P15" s="53"/>
      <x:c r="Q15" s="52"/>
      <x:c r="R15" s="52"/>
      <x:c r="S15" s="110"/>
      <x:c r="T15" s="110"/>
      <x:c r="U15" s="110"/>
      <x:c r="V15" s="110"/>
      <x:c r="W15" s="110"/>
      <x:c r="X15" s="52"/>
      <x:c r="Y15" s="111"/>
      <x:c r="Z15" s="52"/>
      <x:c r="AA15" s="52"/>
      <x:c r="AB15" s="52"/>
      <x:c r="AC15" s="52"/>
      <x:c r="AD15" s="52"/>
      <x:c r="AE15" s="52"/>
      <x:c r="AF15" s="112" t="str">
        <x:f>IF(OR(C15="",U15=""),"",ABS(U15-C15))</x:f>
      </x:c>
      <x:c r="AG15" s="112" t="str">
        <x:f>IF(OR(C15="",T15=""),"",MAX(0,T15-C15))</x:f>
      </x:c>
      <x:c r="AH15" s="113" t="str">
        <x:f>IF(COUNTA(N15:AE15)=0,"NOT_RUN",IF(OR(K15&lt;&gt;"YES",L15&lt;&gt;"YES",M15&lt;&gt;"YES",X15&lt;&gt;"NO",Y15&lt;&gt;0,Z15&lt;&gt;"HEALTHY",LOWER(AA15)&lt;&gt;"none",AB15&lt;&gt;"YES",AC15&lt;&gt;"NO"),"FAIL",IF(AND(V15&gt;='CONFIG'!$B$6,AF15&lt;='CONFIG'!$B$5,AD15&lt;&gt;""),"PASS","BLOCKED")))</x:f>
        <x:v>NOT_RUN</x:v>
      </x:c>
    </x:row>
    <x:row r="16">
      <x:c r="A16" s="109" t="str">
        <x:v>T8-REPEAT-07</x:v>
      </x:c>
      <x:c r="B16" s="52"/>
      <x:c r="C16" s="52"/>
      <x:c r="D16" s="52" t="str">
        <x:v>R1</x:v>
      </x:c>
      <x:c r="E16" s="50" t="str">
        <x:f>AH16</x:f>
        <x:v>NOT_RUN</x:v>
      </x:c>
      <x:c r="F16" s="52"/>
      <x:c r="G16" s="52"/>
      <x:c r="H16" s="52"/>
      <x:c r="I16" s="52"/>
      <x:c r="J16" s="52"/>
      <x:c r="K16" s="52"/>
      <x:c r="L16" s="52"/>
      <x:c r="M16" s="52"/>
      <x:c r="N16" s="53"/>
      <x:c r="O16" s="53"/>
      <x:c r="P16" s="53"/>
      <x:c r="Q16" s="52"/>
      <x:c r="R16" s="52"/>
      <x:c r="S16" s="110"/>
      <x:c r="T16" s="110"/>
      <x:c r="U16" s="110"/>
      <x:c r="V16" s="110"/>
      <x:c r="W16" s="110"/>
      <x:c r="X16" s="52"/>
      <x:c r="Y16" s="111"/>
      <x:c r="Z16" s="52"/>
      <x:c r="AA16" s="52"/>
      <x:c r="AB16" s="52"/>
      <x:c r="AC16" s="52"/>
      <x:c r="AD16" s="52"/>
      <x:c r="AE16" s="52"/>
      <x:c r="AF16" s="112" t="str">
        <x:f>IF(OR(C16="",U16=""),"",ABS(U16-C16))</x:f>
      </x:c>
      <x:c r="AG16" s="112" t="str">
        <x:f>IF(OR(C16="",T16=""),"",MAX(0,T16-C16))</x:f>
      </x:c>
      <x:c r="AH16" s="113" t="str">
        <x:f>IF(COUNTA(N16:AE16)=0,"NOT_RUN",IF(OR(K16&lt;&gt;"YES",L16&lt;&gt;"YES",M16&lt;&gt;"YES",X16&lt;&gt;"NO",Y16&lt;&gt;0,Z16&lt;&gt;"HEALTHY",LOWER(AA16)&lt;&gt;"none",AB16&lt;&gt;"YES",AC16&lt;&gt;"NO"),"FAIL",IF(AND(V16&gt;='CONFIG'!$B$6,AF16&lt;='CONFIG'!$B$5,AD16&lt;&gt;""),"PASS","BLOCKED")))</x:f>
        <x:v>NOT_RUN</x:v>
      </x:c>
    </x:row>
    <x:row r="17">
      <x:c r="A17" s="109" t="str">
        <x:v>T8-REPEAT-08</x:v>
      </x:c>
      <x:c r="B17" s="52"/>
      <x:c r="C17" s="52"/>
      <x:c r="D17" s="52" t="str">
        <x:v>R1</x:v>
      </x:c>
      <x:c r="E17" s="50" t="str">
        <x:f>AH17</x:f>
        <x:v>NOT_RUN</x:v>
      </x:c>
      <x:c r="F17" s="52"/>
      <x:c r="G17" s="52"/>
      <x:c r="H17" s="52"/>
      <x:c r="I17" s="52"/>
      <x:c r="J17" s="52"/>
      <x:c r="K17" s="52"/>
      <x:c r="L17" s="52"/>
      <x:c r="M17" s="52"/>
      <x:c r="N17" s="53"/>
      <x:c r="O17" s="53"/>
      <x:c r="P17" s="53"/>
      <x:c r="Q17" s="52"/>
      <x:c r="R17" s="52"/>
      <x:c r="S17" s="110"/>
      <x:c r="T17" s="110"/>
      <x:c r="U17" s="110"/>
      <x:c r="V17" s="110"/>
      <x:c r="W17" s="110"/>
      <x:c r="X17" s="52"/>
      <x:c r="Y17" s="111"/>
      <x:c r="Z17" s="52"/>
      <x:c r="AA17" s="52"/>
      <x:c r="AB17" s="52"/>
      <x:c r="AC17" s="52"/>
      <x:c r="AD17" s="52"/>
      <x:c r="AE17" s="52"/>
      <x:c r="AF17" s="112" t="str">
        <x:f>IF(OR(C17="",U17=""),"",ABS(U17-C17))</x:f>
      </x:c>
      <x:c r="AG17" s="112" t="str">
        <x:f>IF(OR(C17="",T17=""),"",MAX(0,T17-C17))</x:f>
      </x:c>
      <x:c r="AH17" s="113" t="str">
        <x:f>IF(COUNTA(N17:AE17)=0,"NOT_RUN",IF(OR(K17&lt;&gt;"YES",L17&lt;&gt;"YES",M17&lt;&gt;"YES",X17&lt;&gt;"NO",Y17&lt;&gt;0,Z17&lt;&gt;"HEALTHY",LOWER(AA17)&lt;&gt;"none",AB17&lt;&gt;"YES",AC17&lt;&gt;"NO"),"FAIL",IF(AND(V17&gt;='CONFIG'!$B$6,AF17&lt;='CONFIG'!$B$5,AD17&lt;&gt;""),"PASS","BLOCKED")))</x:f>
        <x:v>NOT_RUN</x:v>
      </x:c>
    </x:row>
    <x:row r="18">
      <x:c r="A18" s="109" t="str">
        <x:v>T8-REPEAT-09</x:v>
      </x:c>
      <x:c r="B18" s="52"/>
      <x:c r="C18" s="52"/>
      <x:c r="D18" s="52" t="str">
        <x:v>R1</x:v>
      </x:c>
      <x:c r="E18" s="50" t="str">
        <x:f>AH18</x:f>
        <x:v>NOT_RUN</x:v>
      </x:c>
      <x:c r="F18" s="52"/>
      <x:c r="G18" s="52"/>
      <x:c r="H18" s="52"/>
      <x:c r="I18" s="52"/>
      <x:c r="J18" s="52"/>
      <x:c r="K18" s="52"/>
      <x:c r="L18" s="52"/>
      <x:c r="M18" s="52"/>
      <x:c r="N18" s="53"/>
      <x:c r="O18" s="53"/>
      <x:c r="P18" s="53"/>
      <x:c r="Q18" s="52"/>
      <x:c r="R18" s="52"/>
      <x:c r="S18" s="110"/>
      <x:c r="T18" s="110"/>
      <x:c r="U18" s="110"/>
      <x:c r="V18" s="110"/>
      <x:c r="W18" s="110"/>
      <x:c r="X18" s="52"/>
      <x:c r="Y18" s="111"/>
      <x:c r="Z18" s="52"/>
      <x:c r="AA18" s="52"/>
      <x:c r="AB18" s="52"/>
      <x:c r="AC18" s="52"/>
      <x:c r="AD18" s="52"/>
      <x:c r="AE18" s="52"/>
      <x:c r="AF18" s="112" t="str">
        <x:f>IF(OR(C18="",U18=""),"",ABS(U18-C18))</x:f>
      </x:c>
      <x:c r="AG18" s="112" t="str">
        <x:f>IF(OR(C18="",T18=""),"",MAX(0,T18-C18))</x:f>
      </x:c>
      <x:c r="AH18" s="113" t="str">
        <x:f>IF(COUNTA(N18:AE18)=0,"NOT_RUN",IF(OR(K18&lt;&gt;"YES",L18&lt;&gt;"YES",M18&lt;&gt;"YES",X18&lt;&gt;"NO",Y18&lt;&gt;0,Z18&lt;&gt;"HEALTHY",LOWER(AA18)&lt;&gt;"none",AB18&lt;&gt;"YES",AC18&lt;&gt;"NO"),"FAIL",IF(AND(V18&gt;='CONFIG'!$B$6,AF18&lt;='CONFIG'!$B$5,AD18&lt;&gt;""),"PASS","BLOCKED")))</x:f>
        <x:v>NOT_RUN</x:v>
      </x:c>
    </x:row>
    <x:row r="19">
      <x:c r="A19" s="109" t="str">
        <x:v>T8-REPEAT-10</x:v>
      </x:c>
      <x:c r="B19" s="52"/>
      <x:c r="C19" s="52"/>
      <x:c r="D19" s="52" t="str">
        <x:v>R1</x:v>
      </x:c>
      <x:c r="E19" s="50" t="str">
        <x:f>AH19</x:f>
        <x:v>NOT_RUN</x:v>
      </x:c>
      <x:c r="F19" s="52"/>
      <x:c r="G19" s="52"/>
      <x:c r="H19" s="52"/>
      <x:c r="I19" s="52"/>
      <x:c r="J19" s="52"/>
      <x:c r="K19" s="52"/>
      <x:c r="L19" s="52"/>
      <x:c r="M19" s="52"/>
      <x:c r="N19" s="53"/>
      <x:c r="O19" s="53"/>
      <x:c r="P19" s="53"/>
      <x:c r="Q19" s="52"/>
      <x:c r="R19" s="52"/>
      <x:c r="S19" s="110"/>
      <x:c r="T19" s="110"/>
      <x:c r="U19" s="110"/>
      <x:c r="V19" s="110"/>
      <x:c r="W19" s="110"/>
      <x:c r="X19" s="52"/>
      <x:c r="Y19" s="111"/>
      <x:c r="Z19" s="52"/>
      <x:c r="AA19" s="52"/>
      <x:c r="AB19" s="52"/>
      <x:c r="AC19" s="52"/>
      <x:c r="AD19" s="52"/>
      <x:c r="AE19" s="52"/>
      <x:c r="AF19" s="112" t="str">
        <x:f>IF(OR(C19="",U19=""),"",ABS(U19-C19))</x:f>
      </x:c>
      <x:c r="AG19" s="112" t="str">
        <x:f>IF(OR(C19="",T19=""),"",MAX(0,T19-C19))</x:f>
      </x:c>
      <x:c r="AH19" s="113" t="str">
        <x:f>IF(COUNTA(N19:AE19)=0,"NOT_RUN",IF(OR(K19&lt;&gt;"YES",L19&lt;&gt;"YES",M19&lt;&gt;"YES",X19&lt;&gt;"NO",Y19&lt;&gt;0,Z19&lt;&gt;"HEALTHY",LOWER(AA19)&lt;&gt;"none",AB19&lt;&gt;"YES",AC19&lt;&gt;"NO"),"FAIL",IF(AND(V19&gt;='CONFIG'!$B$6,AF19&lt;='CONFIG'!$B$5,AD19&lt;&gt;""),"PASS","BLOCKED")))</x:f>
        <x:v>NOT_RUN</x:v>
      </x:c>
    </x:row>
    <x:row r="20">
      <x:c r="A20" s="109" t="str">
        <x:v>T8-REPEAT-11</x:v>
      </x:c>
      <x:c r="B20" s="52"/>
      <x:c r="C20" s="52"/>
      <x:c r="D20" s="52" t="str">
        <x:v>R1</x:v>
      </x:c>
      <x:c r="E20" s="50" t="str">
        <x:f>AH20</x:f>
        <x:v>NOT_RUN</x:v>
      </x:c>
      <x:c r="F20" s="52"/>
      <x:c r="G20" s="52"/>
      <x:c r="H20" s="52"/>
      <x:c r="I20" s="52"/>
      <x:c r="J20" s="52"/>
      <x:c r="K20" s="52"/>
      <x:c r="L20" s="52"/>
      <x:c r="M20" s="52"/>
      <x:c r="N20" s="53"/>
      <x:c r="O20" s="53"/>
      <x:c r="P20" s="53"/>
      <x:c r="Q20" s="52"/>
      <x:c r="R20" s="52"/>
      <x:c r="S20" s="110"/>
      <x:c r="T20" s="110"/>
      <x:c r="U20" s="110"/>
      <x:c r="V20" s="110"/>
      <x:c r="W20" s="110"/>
      <x:c r="X20" s="52"/>
      <x:c r="Y20" s="111"/>
      <x:c r="Z20" s="52"/>
      <x:c r="AA20" s="52"/>
      <x:c r="AB20" s="52"/>
      <x:c r="AC20" s="52"/>
      <x:c r="AD20" s="52"/>
      <x:c r="AE20" s="52"/>
      <x:c r="AF20" s="112" t="str">
        <x:f>IF(OR(C20="",U20=""),"",ABS(U20-C20))</x:f>
      </x:c>
      <x:c r="AG20" s="112" t="str">
        <x:f>IF(OR(C20="",T20=""),"",MAX(0,T20-C20))</x:f>
      </x:c>
      <x:c r="AH20" s="113" t="str">
        <x:f>IF(COUNTA(N20:AE20)=0,"NOT_RUN",IF(OR(K20&lt;&gt;"YES",L20&lt;&gt;"YES",M20&lt;&gt;"YES",X20&lt;&gt;"NO",Y20&lt;&gt;0,Z20&lt;&gt;"HEALTHY",LOWER(AA20)&lt;&gt;"none",AB20&lt;&gt;"YES",AC20&lt;&gt;"NO"),"FAIL",IF(AND(V20&gt;='CONFIG'!$B$6,AF20&lt;='CONFIG'!$B$5,AD20&lt;&gt;""),"PASS","BLOCKED")))</x:f>
        <x:v>NOT_RUN</x:v>
      </x:c>
    </x:row>
    <x:row r="21">
      <x:c r="A21" s="109" t="str">
        <x:v>T8-REPEAT-12</x:v>
      </x:c>
      <x:c r="B21" s="52"/>
      <x:c r="C21" s="52"/>
      <x:c r="D21" s="52" t="str">
        <x:v>R1</x:v>
      </x:c>
      <x:c r="E21" s="50" t="str">
        <x:f>AH21</x:f>
        <x:v>NOT_RUN</x:v>
      </x:c>
      <x:c r="F21" s="52"/>
      <x:c r="G21" s="52"/>
      <x:c r="H21" s="52"/>
      <x:c r="I21" s="52"/>
      <x:c r="J21" s="52"/>
      <x:c r="K21" s="52"/>
      <x:c r="L21" s="52"/>
      <x:c r="M21" s="52"/>
      <x:c r="N21" s="53"/>
      <x:c r="O21" s="53"/>
      <x:c r="P21" s="53"/>
      <x:c r="Q21" s="52"/>
      <x:c r="R21" s="52"/>
      <x:c r="S21" s="110"/>
      <x:c r="T21" s="110"/>
      <x:c r="U21" s="110"/>
      <x:c r="V21" s="110"/>
      <x:c r="W21" s="110"/>
      <x:c r="X21" s="52"/>
      <x:c r="Y21" s="111"/>
      <x:c r="Z21" s="52"/>
      <x:c r="AA21" s="52"/>
      <x:c r="AB21" s="52"/>
      <x:c r="AC21" s="52"/>
      <x:c r="AD21" s="52"/>
      <x:c r="AE21" s="52"/>
      <x:c r="AF21" s="112" t="str">
        <x:f>IF(OR(C21="",U21=""),"",ABS(U21-C21))</x:f>
      </x:c>
      <x:c r="AG21" s="112" t="str">
        <x:f>IF(OR(C21="",T21=""),"",MAX(0,T21-C21))</x:f>
      </x:c>
      <x:c r="AH21" s="113" t="str">
        <x:f>IF(COUNTA(N21:AE21)=0,"NOT_RUN",IF(OR(K21&lt;&gt;"YES",L21&lt;&gt;"YES",M21&lt;&gt;"YES",X21&lt;&gt;"NO",Y21&lt;&gt;0,Z21&lt;&gt;"HEALTHY",LOWER(AA21)&lt;&gt;"none",AB21&lt;&gt;"YES",AC21&lt;&gt;"NO"),"FAIL",IF(AND(V21&gt;='CONFIG'!$B$6,AF21&lt;='CONFIG'!$B$5,AD21&lt;&gt;""),"PASS","BLOCKED")))</x:f>
        <x:v>NOT_RUN</x:v>
      </x:c>
    </x:row>
    <x:row r="22">
      <x:c r="A22" s="109" t="str">
        <x:v>T8-REPEAT-13</x:v>
      </x:c>
      <x:c r="B22" s="52"/>
      <x:c r="C22" s="52"/>
      <x:c r="D22" s="52" t="str">
        <x:v>R1</x:v>
      </x:c>
      <x:c r="E22" s="50" t="str">
        <x:f>AH22</x:f>
        <x:v>NOT_RUN</x:v>
      </x:c>
      <x:c r="F22" s="52"/>
      <x:c r="G22" s="52"/>
      <x:c r="H22" s="52"/>
      <x:c r="I22" s="52"/>
      <x:c r="J22" s="52"/>
      <x:c r="K22" s="52"/>
      <x:c r="L22" s="52"/>
      <x:c r="M22" s="52"/>
      <x:c r="N22" s="53"/>
      <x:c r="O22" s="53"/>
      <x:c r="P22" s="53"/>
      <x:c r="Q22" s="52"/>
      <x:c r="R22" s="52"/>
      <x:c r="S22" s="110"/>
      <x:c r="T22" s="110"/>
      <x:c r="U22" s="110"/>
      <x:c r="V22" s="110"/>
      <x:c r="W22" s="110"/>
      <x:c r="X22" s="52"/>
      <x:c r="Y22" s="111"/>
      <x:c r="Z22" s="52"/>
      <x:c r="AA22" s="52"/>
      <x:c r="AB22" s="52"/>
      <x:c r="AC22" s="52"/>
      <x:c r="AD22" s="52"/>
      <x:c r="AE22" s="52"/>
      <x:c r="AF22" s="112" t="str">
        <x:f>IF(OR(C22="",U22=""),"",ABS(U22-C22))</x:f>
      </x:c>
      <x:c r="AG22" s="112" t="str">
        <x:f>IF(OR(C22="",T22=""),"",MAX(0,T22-C22))</x:f>
      </x:c>
      <x:c r="AH22" s="113" t="str">
        <x:f>IF(COUNTA(N22:AE22)=0,"NOT_RUN",IF(OR(K22&lt;&gt;"YES",L22&lt;&gt;"YES",M22&lt;&gt;"YES",X22&lt;&gt;"NO",Y22&lt;&gt;0,Z22&lt;&gt;"HEALTHY",LOWER(AA22)&lt;&gt;"none",AB22&lt;&gt;"YES",AC22&lt;&gt;"NO"),"FAIL",IF(AND(V22&gt;='CONFIG'!$B$6,AF22&lt;='CONFIG'!$B$5,AD22&lt;&gt;""),"PASS","BLOCKED")))</x:f>
        <x:v>NOT_RUN</x:v>
      </x:c>
    </x:row>
    <x:row r="23">
      <x:c r="A23" s="109" t="str">
        <x:v>T8-REPEAT-14</x:v>
      </x:c>
      <x:c r="B23" s="52"/>
      <x:c r="C23" s="52"/>
      <x:c r="D23" s="52" t="str">
        <x:v>R1</x:v>
      </x:c>
      <x:c r="E23" s="50" t="str">
        <x:f>AH23</x:f>
        <x:v>NOT_RUN</x:v>
      </x:c>
      <x:c r="F23" s="52"/>
      <x:c r="G23" s="52"/>
      <x:c r="H23" s="52"/>
      <x:c r="I23" s="52"/>
      <x:c r="J23" s="52"/>
      <x:c r="K23" s="52"/>
      <x:c r="L23" s="52"/>
      <x:c r="M23" s="52"/>
      <x:c r="N23" s="53"/>
      <x:c r="O23" s="53"/>
      <x:c r="P23" s="53"/>
      <x:c r="Q23" s="52"/>
      <x:c r="R23" s="52"/>
      <x:c r="S23" s="110"/>
      <x:c r="T23" s="110"/>
      <x:c r="U23" s="110"/>
      <x:c r="V23" s="110"/>
      <x:c r="W23" s="110"/>
      <x:c r="X23" s="52"/>
      <x:c r="Y23" s="111"/>
      <x:c r="Z23" s="52"/>
      <x:c r="AA23" s="52"/>
      <x:c r="AB23" s="52"/>
      <x:c r="AC23" s="52"/>
      <x:c r="AD23" s="52"/>
      <x:c r="AE23" s="52"/>
      <x:c r="AF23" s="112" t="str">
        <x:f>IF(OR(C23="",U23=""),"",ABS(U23-C23))</x:f>
      </x:c>
      <x:c r="AG23" s="112" t="str">
        <x:f>IF(OR(C23="",T23=""),"",MAX(0,T23-C23))</x:f>
      </x:c>
      <x:c r="AH23" s="113" t="str">
        <x:f>IF(COUNTA(N23:AE23)=0,"NOT_RUN",IF(OR(K23&lt;&gt;"YES",L23&lt;&gt;"YES",M23&lt;&gt;"YES",X23&lt;&gt;"NO",Y23&lt;&gt;0,Z23&lt;&gt;"HEALTHY",LOWER(AA23)&lt;&gt;"none",AB23&lt;&gt;"YES",AC23&lt;&gt;"NO"),"FAIL",IF(AND(V23&gt;='CONFIG'!$B$6,AF23&lt;='CONFIG'!$B$5,AD23&lt;&gt;""),"PASS","BLOCKED")))</x:f>
        <x:v>NOT_RUN</x:v>
      </x:c>
    </x:row>
    <x:row r="24">
      <x:c r="A24" s="114" t="str">
        <x:v>T8-REPEAT-15</x:v>
      </x:c>
      <x:c r="B24" s="55"/>
      <x:c r="C24" s="55"/>
      <x:c r="D24" s="55" t="str">
        <x:v>R1</x:v>
      </x:c>
      <x:c r="E24" s="115" t="str">
        <x:f>AH24</x:f>
        <x:v>NOT_RUN</x:v>
      </x:c>
      <x:c r="F24" s="55"/>
      <x:c r="G24" s="55"/>
      <x:c r="H24" s="55"/>
      <x:c r="I24" s="55"/>
      <x:c r="J24" s="55"/>
      <x:c r="K24" s="55"/>
      <x:c r="L24" s="55"/>
      <x:c r="M24" s="55"/>
      <x:c r="N24" s="116"/>
      <x:c r="O24" s="116"/>
      <x:c r="P24" s="116"/>
      <x:c r="Q24" s="55"/>
      <x:c r="R24" s="55"/>
      <x:c r="S24" s="117"/>
      <x:c r="T24" s="117"/>
      <x:c r="U24" s="117"/>
      <x:c r="V24" s="117"/>
      <x:c r="W24" s="117"/>
      <x:c r="X24" s="55"/>
      <x:c r="Y24" s="118"/>
      <x:c r="Z24" s="55"/>
      <x:c r="AA24" s="55"/>
      <x:c r="AB24" s="55"/>
      <x:c r="AC24" s="55"/>
      <x:c r="AD24" s="55"/>
      <x:c r="AE24" s="55"/>
      <x:c r="AF24" s="119" t="str">
        <x:f>IF(OR(C24="",U24=""),"",ABS(U24-C24))</x:f>
      </x:c>
      <x:c r="AG24" s="119" t="str">
        <x:f>IF(OR(C24="",T24=""),"",MAX(0,T24-C24))</x:f>
      </x:c>
      <x:c r="AH24" s="120" t="str">
        <x:f>IF(COUNTA(N24:AE24)=0,"NOT_RUN",IF(OR(K24&lt;&gt;"YES",L24&lt;&gt;"YES",M24&lt;&gt;"YES",X24&lt;&gt;"NO",Y24&lt;&gt;0,Z24&lt;&gt;"HEALTHY",LOWER(AA24)&lt;&gt;"none",AB24&lt;&gt;"YES",AC24&lt;&gt;"NO"),"FAIL",IF(AND(V24&gt;='CONFIG'!$B$6,AF24&lt;='CONFIG'!$B$5,AD24&lt;&gt;""),"PASS","BLOCKED")))</x:f>
        <x:v>NOT_RUN</x:v>
      </x:c>
    </x:row>
  </x:sheetData>
  <x:mergeCells>
    <x:mergeCell ref="A1:AH1"/>
    <x:mergeCell ref="A2:AH2"/>
  </x:mergeCells>
  <x:conditionalFormatting sqref="E5:E24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ABORTED"/>
  </x:conditionalFormatting>
  <x:conditionalFormatting sqref="AH5:AH24">
    <x:cfRule type="containsText" dxfId="8" priority="5" operator="containsText" text="PASS"/>
    <x:cfRule type="containsText" dxfId="9" priority="6" operator="containsText" text="FAIL"/>
    <x:cfRule type="containsText" dxfId="10" priority="7" operator="containsText" text="BLOCKED"/>
    <x:cfRule type="containsText" dxfId="11" priority="8" operator="containsText" text="ABORTED"/>
  </x:conditionalFormatting>
  <x:dataValidations count="3">
    <x:dataValidation type="list" sqref="K5:M24">
      <x:formula1>"YES,NO"</x:formula1>
    </x:dataValidation>
    <x:dataValidation type="list" sqref="X5:X24">
      <x:formula1>"YES,NO"</x:formula1>
    </x:dataValidation>
    <x:dataValidation type="list" sqref="AB5:AC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b25376e1c43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42" hidden="0" customWidth="1"/>
    <x:col min="14" max="14" width="42" hidden="0" customWidth="1"/>
  </x:cols>
  <x:sheetData>
    <x:row r="1" ht="30" customHeight="1">
      <x:c r="A1" s="26" t="str">
        <x:v>TELEMETRÍA CRUDA</x:v>
      </x:c>
      <x:c r="B1" s="26" t="str">
        <x:v>TELEMETRÍA CRUDA</x:v>
      </x:c>
      <x:c r="C1" s="26" t="str">
        <x:v>TELEMETRÍA CRUDA</x:v>
      </x:c>
      <x:c r="D1" s="26" t="str">
        <x:v>TELEMETRÍA CRUDA</x:v>
      </x:c>
      <x:c r="E1" s="26" t="str">
        <x:v>TELEMETRÍA CRUDA</x:v>
      </x:c>
      <x:c r="F1" s="26" t="str">
        <x:v>TELEMETRÍA CRUDA</x:v>
      </x:c>
      <x:c r="G1" s="26" t="str">
        <x:v>TELEMETRÍA CRUDA</x:v>
      </x:c>
      <x:c r="H1" s="26" t="str">
        <x:v>TELEMETRÍA CRUDA</x:v>
      </x:c>
      <x:c r="I1" s="26" t="str">
        <x:v>TELEMETRÍA CRUDA</x:v>
      </x:c>
      <x:c r="J1" s="26" t="str">
        <x:v>TELEMETRÍA CRUDA</x:v>
      </x:c>
      <x:c r="K1" s="26" t="str">
        <x:v>TELEMETRÍA CRUDA</x:v>
      </x:c>
      <x:c r="L1" s="26" t="str">
        <x:v>TELEMETRÍA CRUDA</x:v>
      </x:c>
      <x:c r="M1" s="26" t="str">
        <x:v>TELEMETRÍA CRUDA</x:v>
      </x:c>
      <x:c r="N1" s="26" t="str">
        <x:v>TELEMETRÍA CRUDA</x:v>
      </x:c>
    </x:row>
    <x:row r="2" ht="34" customHeight="1">
      <x:c r="A2" s="29" t="str">
        <x:v>Una observación nueva por fila; no promediar ni reemplazar datos.</x:v>
      </x:c>
      <x:c r="B2" s="29" t="str">
        <x:v>Una observación nueva por fila; no promediar ni reemplazar datos.</x:v>
      </x:c>
      <x:c r="C2" s="29" t="str">
        <x:v>Una observación nueva por fila; no promediar ni reemplazar datos.</x:v>
      </x:c>
      <x:c r="D2" s="29" t="str">
        <x:v>Una observación nueva por fila; no promediar ni reemplazar datos.</x:v>
      </x:c>
      <x:c r="E2" s="29" t="str">
        <x:v>Una observación nueva por fila; no promediar ni reemplazar datos.</x:v>
      </x:c>
      <x:c r="F2" s="29" t="str">
        <x:v>Una observación nueva por fila; no promediar ni reemplazar datos.</x:v>
      </x:c>
      <x:c r="G2" s="29" t="str">
        <x:v>Una observación nueva por fila; no promediar ni reemplazar datos.</x:v>
      </x:c>
      <x:c r="H2" s="29" t="str">
        <x:v>Una observación nueva por fila; no promediar ni reemplazar datos.</x:v>
      </x:c>
      <x:c r="I2" s="29" t="str">
        <x:v>Una observación nueva por fila; no promediar ni reemplazar datos.</x:v>
      </x:c>
      <x:c r="J2" s="29" t="str">
        <x:v>Una observación nueva por fila; no promediar ni reemplazar datos.</x:v>
      </x:c>
      <x:c r="K2" s="29" t="str">
        <x:v>Una observación nueva por fila; no promediar ni reemplazar datos.</x:v>
      </x:c>
      <x:c r="L2" s="29" t="str">
        <x:v>Una observación nueva por fila; no promediar ni reemplazar datos.</x:v>
      </x:c>
      <x:c r="M2" s="29" t="str">
        <x:v>Una observación nueva por fila; no promediar ni reemplazar datos.</x:v>
      </x:c>
      <x:c r="N2" s="29" t="str">
        <x:v>Una observación nueva por fila; no promediar ni reemplazar datos.</x:v>
      </x:c>
    </x:row>
    <x:row r="4" ht="34" customHeight="1">
      <x:c r="A4" s="19" t="str">
        <x:v>SampleId</x:v>
      </x:c>
      <x:c r="B4" s="38" t="str">
        <x:v>AttemptId</x:v>
      </x:c>
      <x:c r="C4" s="38" t="str">
        <x:v>ElapsedMs</x:v>
      </x:c>
      <x:c r="D4" s="38" t="str">
        <x:v>TargetRpm</x:v>
      </x:c>
      <x:c r="E4" s="38" t="str">
        <x:v>ActualRpm</x:v>
      </x:c>
      <x:c r="F4" s="38" t="str">
        <x:v>ErrorRpm</x:v>
      </x:c>
      <x:c r="G4" s="38" t="str">
        <x:v>AppliedPower</x:v>
      </x:c>
      <x:c r="H4" s="38" t="str">
        <x:v>BatteryV</x:v>
      </x:c>
      <x:c r="I4" s="38" t="str">
        <x:v>EncoderTicks</x:v>
      </x:c>
      <x:c r="J4" s="38" t="str">
        <x:v>Health</x:v>
      </x:c>
      <x:c r="K4" s="38" t="str">
        <x:v>Fault</x:v>
      </x:c>
      <x:c r="L4" s="38" t="str">
        <x:v>SourceTime</x:v>
      </x:c>
      <x:c r="M4" s="38" t="str">
        <x:v>EvidenceRef</x:v>
      </x:c>
      <x:c r="N4" s="20" t="str">
        <x:v>Notes</x:v>
      </x:c>
    </x:row>
    <x:row r="5">
      <x:c r="A5" s="49" t="str">
        <x:v>S-001</x:v>
      </x:c>
      <x:c r="B5" s="52" t="str">
        <x:v>T8-1000-01</x:v>
      </x:c>
      <x:c r="C5" s="110" t="n">
        <x:v>3027.5</x:v>
      </x:c>
      <x:c r="D5" s="110" t="n">
        <x:v>1000</x:v>
      </x:c>
      <x:c r="E5" s="110" t="n">
        <x:v>-85.7</x:v>
      </x:c>
      <x:c r="F5" s="112" t="n">
        <x:f>IF(OR(D5="",E5=""),"",E5-D5)</x:f>
        <x:v>-1085.7</x:v>
      </x:c>
      <x:c r="G5" s="111"/>
      <x:c r="H5" s="111" t="n">
        <x:v>11.62</x:v>
      </x:c>
      <x:c r="I5" s="52" t="n">
        <x:v>-170</x:v>
      </x:c>
      <x:c r="J5" s="52" t="str">
        <x:v>HEALTHY</x:v>
      </x:c>
      <x:c r="K5" s="52" t="str">
        <x:v>none</x:v>
      </x:c>
      <x:c r="L5" s="52" t="str">
        <x:v>end of reported pulse</x:v>
      </x:c>
      <x:c r="M5" s="52" t="str">
        <x:v>CHAT-20260723-T8-1000-01</x:v>
      </x:c>
      <x:c r="N5" s="69" t="str">
        <x:v>Reported peak 1028.6 RPM; ticks 0 -&gt; -170; result text STOPP_TIMEOUT; ready hold 0.0 ms; stopped completely; no anomaly. Final applied power missing.</x:v>
      </x:c>
    </x:row>
    <x:row r="6">
      <x:c r="A6" s="49" t="str">
        <x:v>S-002</x:v>
      </x:c>
      <x:c r="B6" s="52"/>
      <x:c r="C6" s="110"/>
      <x:c r="D6" s="110"/>
      <x:c r="E6" s="110"/>
      <x:c r="F6" s="112" t="str">
        <x:f>IF(OR(D6="",E6=""),"",E6-D6)</x:f>
      </x:c>
      <x:c r="G6" s="111"/>
      <x:c r="H6" s="111"/>
      <x:c r="I6" s="52"/>
      <x:c r="J6" s="52"/>
      <x:c r="K6" s="52"/>
      <x:c r="L6" s="52"/>
      <x:c r="M6" s="52"/>
      <x:c r="N6" s="69"/>
    </x:row>
    <x:row r="7">
      <x:c r="A7" s="49" t="str">
        <x:v>S-003</x:v>
      </x:c>
      <x:c r="B7" s="52"/>
      <x:c r="C7" s="110"/>
      <x:c r="D7" s="110"/>
      <x:c r="E7" s="110"/>
      <x:c r="F7" s="112" t="str">
        <x:f>IF(OR(D7="",E7=""),"",E7-D7)</x:f>
      </x:c>
      <x:c r="G7" s="111"/>
      <x:c r="H7" s="111"/>
      <x:c r="I7" s="52"/>
      <x:c r="J7" s="52"/>
      <x:c r="K7" s="52"/>
      <x:c r="L7" s="52"/>
      <x:c r="M7" s="52"/>
      <x:c r="N7" s="69"/>
    </x:row>
    <x:row r="8">
      <x:c r="A8" s="49" t="str">
        <x:v>S-004</x:v>
      </x:c>
      <x:c r="B8" s="52"/>
      <x:c r="C8" s="110"/>
      <x:c r="D8" s="110"/>
      <x:c r="E8" s="110"/>
      <x:c r="F8" s="112" t="str">
        <x:f>IF(OR(D8="",E8=""),"",E8-D8)</x:f>
      </x:c>
      <x:c r="G8" s="111"/>
      <x:c r="H8" s="111"/>
      <x:c r="I8" s="52"/>
      <x:c r="J8" s="52"/>
      <x:c r="K8" s="52"/>
      <x:c r="L8" s="52"/>
      <x:c r="M8" s="52"/>
      <x:c r="N8" s="69"/>
    </x:row>
    <x:row r="9">
      <x:c r="A9" s="49" t="str">
        <x:v>S-005</x:v>
      </x:c>
      <x:c r="B9" s="52"/>
      <x:c r="C9" s="110"/>
      <x:c r="D9" s="110"/>
      <x:c r="E9" s="110"/>
      <x:c r="F9" s="112" t="str">
        <x:f>IF(OR(D9="",E9=""),"",E9-D9)</x:f>
      </x:c>
      <x:c r="G9" s="111"/>
      <x:c r="H9" s="111"/>
      <x:c r="I9" s="52"/>
      <x:c r="J9" s="52"/>
      <x:c r="K9" s="52"/>
      <x:c r="L9" s="52"/>
      <x:c r="M9" s="52"/>
      <x:c r="N9" s="69"/>
    </x:row>
    <x:row r="10">
      <x:c r="A10" s="49" t="str">
        <x:v>S-006</x:v>
      </x:c>
      <x:c r="B10" s="52"/>
      <x:c r="C10" s="110"/>
      <x:c r="D10" s="110"/>
      <x:c r="E10" s="110"/>
      <x:c r="F10" s="112" t="str">
        <x:f>IF(OR(D10="",E10=""),"",E10-D10)</x:f>
      </x:c>
      <x:c r="G10" s="111"/>
      <x:c r="H10" s="111"/>
      <x:c r="I10" s="52"/>
      <x:c r="J10" s="52"/>
      <x:c r="K10" s="52"/>
      <x:c r="L10" s="52"/>
      <x:c r="M10" s="52"/>
      <x:c r="N10" s="69"/>
    </x:row>
    <x:row r="11">
      <x:c r="A11" s="49" t="str">
        <x:v>S-007</x:v>
      </x:c>
      <x:c r="B11" s="52"/>
      <x:c r="C11" s="110"/>
      <x:c r="D11" s="110"/>
      <x:c r="E11" s="110"/>
      <x:c r="F11" s="112" t="str">
        <x:f>IF(OR(D11="",E11=""),"",E11-D11)</x:f>
      </x:c>
      <x:c r="G11" s="111"/>
      <x:c r="H11" s="111"/>
      <x:c r="I11" s="52"/>
      <x:c r="J11" s="52"/>
      <x:c r="K11" s="52"/>
      <x:c r="L11" s="52"/>
      <x:c r="M11" s="52"/>
      <x:c r="N11" s="69"/>
    </x:row>
    <x:row r="12">
      <x:c r="A12" s="49" t="str">
        <x:v>S-008</x:v>
      </x:c>
      <x:c r="B12" s="52"/>
      <x:c r="C12" s="110"/>
      <x:c r="D12" s="110"/>
      <x:c r="E12" s="110"/>
      <x:c r="F12" s="112" t="str">
        <x:f>IF(OR(D12="",E12=""),"",E12-D12)</x:f>
      </x:c>
      <x:c r="G12" s="111"/>
      <x:c r="H12" s="111"/>
      <x:c r="I12" s="52"/>
      <x:c r="J12" s="52"/>
      <x:c r="K12" s="52"/>
      <x:c r="L12" s="52"/>
      <x:c r="M12" s="52"/>
      <x:c r="N12" s="69"/>
    </x:row>
    <x:row r="13">
      <x:c r="A13" s="49" t="str">
        <x:v>S-009</x:v>
      </x:c>
      <x:c r="B13" s="52"/>
      <x:c r="C13" s="110"/>
      <x:c r="D13" s="110"/>
      <x:c r="E13" s="110"/>
      <x:c r="F13" s="112" t="str">
        <x:f>IF(OR(D13="",E13=""),"",E13-D13)</x:f>
      </x:c>
      <x:c r="G13" s="111"/>
      <x:c r="H13" s="111"/>
      <x:c r="I13" s="52"/>
      <x:c r="J13" s="52"/>
      <x:c r="K13" s="52"/>
      <x:c r="L13" s="52"/>
      <x:c r="M13" s="52"/>
      <x:c r="N13" s="69"/>
    </x:row>
    <x:row r="14">
      <x:c r="A14" s="49" t="str">
        <x:v>S-010</x:v>
      </x:c>
      <x:c r="B14" s="52"/>
      <x:c r="C14" s="110"/>
      <x:c r="D14" s="110"/>
      <x:c r="E14" s="110"/>
      <x:c r="F14" s="112" t="str">
        <x:f>IF(OR(D14="",E14=""),"",E14-D14)</x:f>
      </x:c>
      <x:c r="G14" s="111"/>
      <x:c r="H14" s="111"/>
      <x:c r="I14" s="52"/>
      <x:c r="J14" s="52"/>
      <x:c r="K14" s="52"/>
      <x:c r="L14" s="52"/>
      <x:c r="M14" s="52"/>
      <x:c r="N14" s="69"/>
    </x:row>
    <x:row r="15">
      <x:c r="A15" s="49" t="str">
        <x:v>S-011</x:v>
      </x:c>
      <x:c r="B15" s="52"/>
      <x:c r="C15" s="110"/>
      <x:c r="D15" s="110"/>
      <x:c r="E15" s="110"/>
      <x:c r="F15" s="112" t="str">
        <x:f>IF(OR(D15="",E15=""),"",E15-D15)</x:f>
      </x:c>
      <x:c r="G15" s="111"/>
      <x:c r="H15" s="111"/>
      <x:c r="I15" s="52"/>
      <x:c r="J15" s="52"/>
      <x:c r="K15" s="52"/>
      <x:c r="L15" s="52"/>
      <x:c r="M15" s="52"/>
      <x:c r="N15" s="69"/>
    </x:row>
    <x:row r="16">
      <x:c r="A16" s="49" t="str">
        <x:v>S-012</x:v>
      </x:c>
      <x:c r="B16" s="52"/>
      <x:c r="C16" s="110"/>
      <x:c r="D16" s="110"/>
      <x:c r="E16" s="110"/>
      <x:c r="F16" s="112" t="str">
        <x:f>IF(OR(D16="",E16=""),"",E16-D16)</x:f>
      </x:c>
      <x:c r="G16" s="111"/>
      <x:c r="H16" s="111"/>
      <x:c r="I16" s="52"/>
      <x:c r="J16" s="52"/>
      <x:c r="K16" s="52"/>
      <x:c r="L16" s="52"/>
      <x:c r="M16" s="52"/>
      <x:c r="N16" s="69"/>
    </x:row>
    <x:row r="17">
      <x:c r="A17" s="49" t="str">
        <x:v>S-013</x:v>
      </x:c>
      <x:c r="B17" s="52"/>
      <x:c r="C17" s="110"/>
      <x:c r="D17" s="110"/>
      <x:c r="E17" s="110"/>
      <x:c r="F17" s="112" t="str">
        <x:f>IF(OR(D17="",E17=""),"",E17-D17)</x:f>
      </x:c>
      <x:c r="G17" s="111"/>
      <x:c r="H17" s="111"/>
      <x:c r="I17" s="52"/>
      <x:c r="J17" s="52"/>
      <x:c r="K17" s="52"/>
      <x:c r="L17" s="52"/>
      <x:c r="M17" s="52"/>
      <x:c r="N17" s="69"/>
    </x:row>
    <x:row r="18">
      <x:c r="A18" s="49" t="str">
        <x:v>S-014</x:v>
      </x:c>
      <x:c r="B18" s="52"/>
      <x:c r="C18" s="110"/>
      <x:c r="D18" s="110"/>
      <x:c r="E18" s="110"/>
      <x:c r="F18" s="112" t="str">
        <x:f>IF(OR(D18="",E18=""),"",E18-D18)</x:f>
      </x:c>
      <x:c r="G18" s="111"/>
      <x:c r="H18" s="111"/>
      <x:c r="I18" s="52"/>
      <x:c r="J18" s="52"/>
      <x:c r="K18" s="52"/>
      <x:c r="L18" s="52"/>
      <x:c r="M18" s="52"/>
      <x:c r="N18" s="69"/>
    </x:row>
    <x:row r="19">
      <x:c r="A19" s="49" t="str">
        <x:v>S-015</x:v>
      </x:c>
      <x:c r="B19" s="52"/>
      <x:c r="C19" s="110"/>
      <x:c r="D19" s="110"/>
      <x:c r="E19" s="110"/>
      <x:c r="F19" s="112" t="str">
        <x:f>IF(OR(D19="",E19=""),"",E19-D19)</x:f>
      </x:c>
      <x:c r="G19" s="111"/>
      <x:c r="H19" s="111"/>
      <x:c r="I19" s="52"/>
      <x:c r="J19" s="52"/>
      <x:c r="K19" s="52"/>
      <x:c r="L19" s="52"/>
      <x:c r="M19" s="52"/>
      <x:c r="N19" s="69"/>
    </x:row>
    <x:row r="20">
      <x:c r="A20" s="49" t="str">
        <x:v>S-016</x:v>
      </x:c>
      <x:c r="B20" s="52"/>
      <x:c r="C20" s="110"/>
      <x:c r="D20" s="110"/>
      <x:c r="E20" s="110"/>
      <x:c r="F20" s="112" t="str">
        <x:f>IF(OR(D20="",E20=""),"",E20-D20)</x:f>
      </x:c>
      <x:c r="G20" s="111"/>
      <x:c r="H20" s="111"/>
      <x:c r="I20" s="52"/>
      <x:c r="J20" s="52"/>
      <x:c r="K20" s="52"/>
      <x:c r="L20" s="52"/>
      <x:c r="M20" s="52"/>
      <x:c r="N20" s="69"/>
    </x:row>
    <x:row r="21">
      <x:c r="A21" s="49" t="str">
        <x:v>S-017</x:v>
      </x:c>
      <x:c r="B21" s="52"/>
      <x:c r="C21" s="110"/>
      <x:c r="D21" s="110"/>
      <x:c r="E21" s="110"/>
      <x:c r="F21" s="112" t="str">
        <x:f>IF(OR(D21="",E21=""),"",E21-D21)</x:f>
      </x:c>
      <x:c r="G21" s="111"/>
      <x:c r="H21" s="111"/>
      <x:c r="I21" s="52"/>
      <x:c r="J21" s="52"/>
      <x:c r="K21" s="52"/>
      <x:c r="L21" s="52"/>
      <x:c r="M21" s="52"/>
      <x:c r="N21" s="69"/>
    </x:row>
    <x:row r="22">
      <x:c r="A22" s="49" t="str">
        <x:v>S-018</x:v>
      </x:c>
      <x:c r="B22" s="52"/>
      <x:c r="C22" s="110"/>
      <x:c r="D22" s="110"/>
      <x:c r="E22" s="110"/>
      <x:c r="F22" s="112" t="str">
        <x:f>IF(OR(D22="",E22=""),"",E22-D22)</x:f>
      </x:c>
      <x:c r="G22" s="111"/>
      <x:c r="H22" s="111"/>
      <x:c r="I22" s="52"/>
      <x:c r="J22" s="52"/>
      <x:c r="K22" s="52"/>
      <x:c r="L22" s="52"/>
      <x:c r="M22" s="52"/>
      <x:c r="N22" s="69"/>
    </x:row>
    <x:row r="23">
      <x:c r="A23" s="49" t="str">
        <x:v>S-019</x:v>
      </x:c>
      <x:c r="B23" s="52"/>
      <x:c r="C23" s="110"/>
      <x:c r="D23" s="110"/>
      <x:c r="E23" s="110"/>
      <x:c r="F23" s="112" t="str">
        <x:f>IF(OR(D23="",E23=""),"",E23-D23)</x:f>
      </x:c>
      <x:c r="G23" s="111"/>
      <x:c r="H23" s="111"/>
      <x:c r="I23" s="52"/>
      <x:c r="J23" s="52"/>
      <x:c r="K23" s="52"/>
      <x:c r="L23" s="52"/>
      <x:c r="M23" s="52"/>
      <x:c r="N23" s="69"/>
    </x:row>
    <x:row r="24">
      <x:c r="A24" s="49" t="str">
        <x:v>S-020</x:v>
      </x:c>
      <x:c r="B24" s="52"/>
      <x:c r="C24" s="110"/>
      <x:c r="D24" s="110"/>
      <x:c r="E24" s="110"/>
      <x:c r="F24" s="112" t="str">
        <x:f>IF(OR(D24="",E24=""),"",E24-D24)</x:f>
      </x:c>
      <x:c r="G24" s="111"/>
      <x:c r="H24" s="111"/>
      <x:c r="I24" s="52"/>
      <x:c r="J24" s="52"/>
      <x:c r="K24" s="52"/>
      <x:c r="L24" s="52"/>
      <x:c r="M24" s="52"/>
      <x:c r="N24" s="69"/>
    </x:row>
    <x:row r="25">
      <x:c r="A25" s="49" t="str">
        <x:v>S-021</x:v>
      </x:c>
      <x:c r="B25" s="52"/>
      <x:c r="C25" s="110"/>
      <x:c r="D25" s="110"/>
      <x:c r="E25" s="110"/>
      <x:c r="F25" s="112" t="str">
        <x:f>IF(OR(D25="",E25=""),"",E25-D25)</x:f>
      </x:c>
      <x:c r="G25" s="111"/>
      <x:c r="H25" s="111"/>
      <x:c r="I25" s="52"/>
      <x:c r="J25" s="52"/>
      <x:c r="K25" s="52"/>
      <x:c r="L25" s="52"/>
      <x:c r="M25" s="52"/>
      <x:c r="N25" s="69"/>
    </x:row>
    <x:row r="26">
      <x:c r="A26" s="49" t="str">
        <x:v>S-022</x:v>
      </x:c>
      <x:c r="B26" s="52"/>
      <x:c r="C26" s="110"/>
      <x:c r="D26" s="110"/>
      <x:c r="E26" s="110"/>
      <x:c r="F26" s="112" t="str">
        <x:f>IF(OR(D26="",E26=""),"",E26-D26)</x:f>
      </x:c>
      <x:c r="G26" s="111"/>
      <x:c r="H26" s="111"/>
      <x:c r="I26" s="52"/>
      <x:c r="J26" s="52"/>
      <x:c r="K26" s="52"/>
      <x:c r="L26" s="52"/>
      <x:c r="M26" s="52"/>
      <x:c r="N26" s="69"/>
    </x:row>
    <x:row r="27">
      <x:c r="A27" s="49" t="str">
        <x:v>S-023</x:v>
      </x:c>
      <x:c r="B27" s="52"/>
      <x:c r="C27" s="110"/>
      <x:c r="D27" s="110"/>
      <x:c r="E27" s="110"/>
      <x:c r="F27" s="112" t="str">
        <x:f>IF(OR(D27="",E27=""),"",E27-D27)</x:f>
      </x:c>
      <x:c r="G27" s="111"/>
      <x:c r="H27" s="111"/>
      <x:c r="I27" s="52"/>
      <x:c r="J27" s="52"/>
      <x:c r="K27" s="52"/>
      <x:c r="L27" s="52"/>
      <x:c r="M27" s="52"/>
      <x:c r="N27" s="69"/>
    </x:row>
    <x:row r="28">
      <x:c r="A28" s="49" t="str">
        <x:v>S-024</x:v>
      </x:c>
      <x:c r="B28" s="52"/>
      <x:c r="C28" s="110"/>
      <x:c r="D28" s="110"/>
      <x:c r="E28" s="110"/>
      <x:c r="F28" s="112" t="str">
        <x:f>IF(OR(D28="",E28=""),"",E28-D28)</x:f>
      </x:c>
      <x:c r="G28" s="111"/>
      <x:c r="H28" s="111"/>
      <x:c r="I28" s="52"/>
      <x:c r="J28" s="52"/>
      <x:c r="K28" s="52"/>
      <x:c r="L28" s="52"/>
      <x:c r="M28" s="52"/>
      <x:c r="N28" s="69"/>
    </x:row>
    <x:row r="29">
      <x:c r="A29" s="49" t="str">
        <x:v>S-025</x:v>
      </x:c>
      <x:c r="B29" s="52"/>
      <x:c r="C29" s="110"/>
      <x:c r="D29" s="110"/>
      <x:c r="E29" s="110"/>
      <x:c r="F29" s="112" t="str">
        <x:f>IF(OR(D29="",E29=""),"",E29-D29)</x:f>
      </x:c>
      <x:c r="G29" s="111"/>
      <x:c r="H29" s="111"/>
      <x:c r="I29" s="52"/>
      <x:c r="J29" s="52"/>
      <x:c r="K29" s="52"/>
      <x:c r="L29" s="52"/>
      <x:c r="M29" s="52"/>
      <x:c r="N29" s="69"/>
    </x:row>
    <x:row r="30">
      <x:c r="A30" s="49" t="str">
        <x:v>S-026</x:v>
      </x:c>
      <x:c r="B30" s="52"/>
      <x:c r="C30" s="110"/>
      <x:c r="D30" s="110"/>
      <x:c r="E30" s="110"/>
      <x:c r="F30" s="112" t="str">
        <x:f>IF(OR(D30="",E30=""),"",E30-D30)</x:f>
      </x:c>
      <x:c r="G30" s="111"/>
      <x:c r="H30" s="111"/>
      <x:c r="I30" s="52"/>
      <x:c r="J30" s="52"/>
      <x:c r="K30" s="52"/>
      <x:c r="L30" s="52"/>
      <x:c r="M30" s="52"/>
      <x:c r="N30" s="69"/>
    </x:row>
    <x:row r="31">
      <x:c r="A31" s="49" t="str">
        <x:v>S-027</x:v>
      </x:c>
      <x:c r="B31" s="52"/>
      <x:c r="C31" s="110"/>
      <x:c r="D31" s="110"/>
      <x:c r="E31" s="110"/>
      <x:c r="F31" s="112" t="str">
        <x:f>IF(OR(D31="",E31=""),"",E31-D31)</x:f>
      </x:c>
      <x:c r="G31" s="111"/>
      <x:c r="H31" s="111"/>
      <x:c r="I31" s="52"/>
      <x:c r="J31" s="52"/>
      <x:c r="K31" s="52"/>
      <x:c r="L31" s="52"/>
      <x:c r="M31" s="52"/>
      <x:c r="N31" s="69"/>
    </x:row>
    <x:row r="32">
      <x:c r="A32" s="49" t="str">
        <x:v>S-028</x:v>
      </x:c>
      <x:c r="B32" s="52"/>
      <x:c r="C32" s="110"/>
      <x:c r="D32" s="110"/>
      <x:c r="E32" s="110"/>
      <x:c r="F32" s="112" t="str">
        <x:f>IF(OR(D32="",E32=""),"",E32-D32)</x:f>
      </x:c>
      <x:c r="G32" s="111"/>
      <x:c r="H32" s="111"/>
      <x:c r="I32" s="52"/>
      <x:c r="J32" s="52"/>
      <x:c r="K32" s="52"/>
      <x:c r="L32" s="52"/>
      <x:c r="M32" s="52"/>
      <x:c r="N32" s="69"/>
    </x:row>
    <x:row r="33">
      <x:c r="A33" s="49" t="str">
        <x:v>S-029</x:v>
      </x:c>
      <x:c r="B33" s="52"/>
      <x:c r="C33" s="110"/>
      <x:c r="D33" s="110"/>
      <x:c r="E33" s="110"/>
      <x:c r="F33" s="112" t="str">
        <x:f>IF(OR(D33="",E33=""),"",E33-D33)</x:f>
      </x:c>
      <x:c r="G33" s="111"/>
      <x:c r="H33" s="111"/>
      <x:c r="I33" s="52"/>
      <x:c r="J33" s="52"/>
      <x:c r="K33" s="52"/>
      <x:c r="L33" s="52"/>
      <x:c r="M33" s="52"/>
      <x:c r="N33" s="69"/>
    </x:row>
    <x:row r="34">
      <x:c r="A34" s="49" t="str">
        <x:v>S-030</x:v>
      </x:c>
      <x:c r="B34" s="52"/>
      <x:c r="C34" s="110"/>
      <x:c r="D34" s="110"/>
      <x:c r="E34" s="110"/>
      <x:c r="F34" s="112" t="str">
        <x:f>IF(OR(D34="",E34=""),"",E34-D34)</x:f>
      </x:c>
      <x:c r="G34" s="111"/>
      <x:c r="H34" s="111"/>
      <x:c r="I34" s="52"/>
      <x:c r="J34" s="52"/>
      <x:c r="K34" s="52"/>
      <x:c r="L34" s="52"/>
      <x:c r="M34" s="52"/>
      <x:c r="N34" s="69"/>
    </x:row>
    <x:row r="35">
      <x:c r="A35" s="49" t="str">
        <x:v>S-031</x:v>
      </x:c>
      <x:c r="B35" s="52"/>
      <x:c r="C35" s="110"/>
      <x:c r="D35" s="110"/>
      <x:c r="E35" s="110"/>
      <x:c r="F35" s="112" t="str">
        <x:f>IF(OR(D35="",E35=""),"",E35-D35)</x:f>
      </x:c>
      <x:c r="G35" s="111"/>
      <x:c r="H35" s="111"/>
      <x:c r="I35" s="52"/>
      <x:c r="J35" s="52"/>
      <x:c r="K35" s="52"/>
      <x:c r="L35" s="52"/>
      <x:c r="M35" s="52"/>
      <x:c r="N35" s="69"/>
    </x:row>
    <x:row r="36">
      <x:c r="A36" s="49" t="str">
        <x:v>S-032</x:v>
      </x:c>
      <x:c r="B36" s="52"/>
      <x:c r="C36" s="110"/>
      <x:c r="D36" s="110"/>
      <x:c r="E36" s="110"/>
      <x:c r="F36" s="112" t="str">
        <x:f>IF(OR(D36="",E36=""),"",E36-D36)</x:f>
      </x:c>
      <x:c r="G36" s="111"/>
      <x:c r="H36" s="111"/>
      <x:c r="I36" s="52"/>
      <x:c r="J36" s="52"/>
      <x:c r="K36" s="52"/>
      <x:c r="L36" s="52"/>
      <x:c r="M36" s="52"/>
      <x:c r="N36" s="69"/>
    </x:row>
    <x:row r="37">
      <x:c r="A37" s="49" t="str">
        <x:v>S-033</x:v>
      </x:c>
      <x:c r="B37" s="52"/>
      <x:c r="C37" s="110"/>
      <x:c r="D37" s="110"/>
      <x:c r="E37" s="110"/>
      <x:c r="F37" s="112" t="str">
        <x:f>IF(OR(D37="",E37=""),"",E37-D37)</x:f>
      </x:c>
      <x:c r="G37" s="111"/>
      <x:c r="H37" s="111"/>
      <x:c r="I37" s="52"/>
      <x:c r="J37" s="52"/>
      <x:c r="K37" s="52"/>
      <x:c r="L37" s="52"/>
      <x:c r="M37" s="52"/>
      <x:c r="N37" s="69"/>
    </x:row>
    <x:row r="38">
      <x:c r="A38" s="49" t="str">
        <x:v>S-034</x:v>
      </x:c>
      <x:c r="B38" s="52"/>
      <x:c r="C38" s="110"/>
      <x:c r="D38" s="110"/>
      <x:c r="E38" s="110"/>
      <x:c r="F38" s="112" t="str">
        <x:f>IF(OR(D38="",E38=""),"",E38-D38)</x:f>
      </x:c>
      <x:c r="G38" s="111"/>
      <x:c r="H38" s="111"/>
      <x:c r="I38" s="52"/>
      <x:c r="J38" s="52"/>
      <x:c r="K38" s="52"/>
      <x:c r="L38" s="52"/>
      <x:c r="M38" s="52"/>
      <x:c r="N38" s="69"/>
    </x:row>
    <x:row r="39">
      <x:c r="A39" s="49" t="str">
        <x:v>S-035</x:v>
      </x:c>
      <x:c r="B39" s="52"/>
      <x:c r="C39" s="110"/>
      <x:c r="D39" s="110"/>
      <x:c r="E39" s="110"/>
      <x:c r="F39" s="112" t="str">
        <x:f>IF(OR(D39="",E39=""),"",E39-D39)</x:f>
      </x:c>
      <x:c r="G39" s="111"/>
      <x:c r="H39" s="111"/>
      <x:c r="I39" s="52"/>
      <x:c r="J39" s="52"/>
      <x:c r="K39" s="52"/>
      <x:c r="L39" s="52"/>
      <x:c r="M39" s="52"/>
      <x:c r="N39" s="69"/>
    </x:row>
    <x:row r="40">
      <x:c r="A40" s="49" t="str">
        <x:v>S-036</x:v>
      </x:c>
      <x:c r="B40" s="52"/>
      <x:c r="C40" s="110"/>
      <x:c r="D40" s="110"/>
      <x:c r="E40" s="110"/>
      <x:c r="F40" s="112" t="str">
        <x:f>IF(OR(D40="",E40=""),"",E40-D40)</x:f>
      </x:c>
      <x:c r="G40" s="111"/>
      <x:c r="H40" s="111"/>
      <x:c r="I40" s="52"/>
      <x:c r="J40" s="52"/>
      <x:c r="K40" s="52"/>
      <x:c r="L40" s="52"/>
      <x:c r="M40" s="52"/>
      <x:c r="N40" s="69"/>
    </x:row>
    <x:row r="41">
      <x:c r="A41" s="49" t="str">
        <x:v>S-037</x:v>
      </x:c>
      <x:c r="B41" s="52"/>
      <x:c r="C41" s="110"/>
      <x:c r="D41" s="110"/>
      <x:c r="E41" s="110"/>
      <x:c r="F41" s="112" t="str">
        <x:f>IF(OR(D41="",E41=""),"",E41-D41)</x:f>
      </x:c>
      <x:c r="G41" s="111"/>
      <x:c r="H41" s="111"/>
      <x:c r="I41" s="52"/>
      <x:c r="J41" s="52"/>
      <x:c r="K41" s="52"/>
      <x:c r="L41" s="52"/>
      <x:c r="M41" s="52"/>
      <x:c r="N41" s="69"/>
    </x:row>
    <x:row r="42">
      <x:c r="A42" s="49" t="str">
        <x:v>S-038</x:v>
      </x:c>
      <x:c r="B42" s="52"/>
      <x:c r="C42" s="110"/>
      <x:c r="D42" s="110"/>
      <x:c r="E42" s="110"/>
      <x:c r="F42" s="112" t="str">
        <x:f>IF(OR(D42="",E42=""),"",E42-D42)</x:f>
      </x:c>
      <x:c r="G42" s="111"/>
      <x:c r="H42" s="111"/>
      <x:c r="I42" s="52"/>
      <x:c r="J42" s="52"/>
      <x:c r="K42" s="52"/>
      <x:c r="L42" s="52"/>
      <x:c r="M42" s="52"/>
      <x:c r="N42" s="69"/>
    </x:row>
    <x:row r="43">
      <x:c r="A43" s="49" t="str">
        <x:v>S-039</x:v>
      </x:c>
      <x:c r="B43" s="52"/>
      <x:c r="C43" s="110"/>
      <x:c r="D43" s="110"/>
      <x:c r="E43" s="110"/>
      <x:c r="F43" s="112" t="str">
        <x:f>IF(OR(D43="",E43=""),"",E43-D43)</x:f>
      </x:c>
      <x:c r="G43" s="111"/>
      <x:c r="H43" s="111"/>
      <x:c r="I43" s="52"/>
      <x:c r="J43" s="52"/>
      <x:c r="K43" s="52"/>
      <x:c r="L43" s="52"/>
      <x:c r="M43" s="52"/>
      <x:c r="N43" s="69"/>
    </x:row>
    <x:row r="44">
      <x:c r="A44" s="49" t="str">
        <x:v>S-040</x:v>
      </x:c>
      <x:c r="B44" s="52"/>
      <x:c r="C44" s="110"/>
      <x:c r="D44" s="110"/>
      <x:c r="E44" s="110"/>
      <x:c r="F44" s="112" t="str">
        <x:f>IF(OR(D44="",E44=""),"",E44-D44)</x:f>
      </x:c>
      <x:c r="G44" s="111"/>
      <x:c r="H44" s="111"/>
      <x:c r="I44" s="52"/>
      <x:c r="J44" s="52"/>
      <x:c r="K44" s="52"/>
      <x:c r="L44" s="52"/>
      <x:c r="M44" s="52"/>
      <x:c r="N44" s="69"/>
    </x:row>
    <x:row r="45">
      <x:c r="A45" s="49" t="str">
        <x:v>S-041</x:v>
      </x:c>
      <x:c r="B45" s="52"/>
      <x:c r="C45" s="110"/>
      <x:c r="D45" s="110"/>
      <x:c r="E45" s="110"/>
      <x:c r="F45" s="112" t="str">
        <x:f>IF(OR(D45="",E45=""),"",E45-D45)</x:f>
      </x:c>
      <x:c r="G45" s="111"/>
      <x:c r="H45" s="111"/>
      <x:c r="I45" s="52"/>
      <x:c r="J45" s="52"/>
      <x:c r="K45" s="52"/>
      <x:c r="L45" s="52"/>
      <x:c r="M45" s="52"/>
      <x:c r="N45" s="69"/>
    </x:row>
    <x:row r="46">
      <x:c r="A46" s="49" t="str">
        <x:v>S-042</x:v>
      </x:c>
      <x:c r="B46" s="52"/>
      <x:c r="C46" s="110"/>
      <x:c r="D46" s="110"/>
      <x:c r="E46" s="110"/>
      <x:c r="F46" s="112" t="str">
        <x:f>IF(OR(D46="",E46=""),"",E46-D46)</x:f>
      </x:c>
      <x:c r="G46" s="111"/>
      <x:c r="H46" s="111"/>
      <x:c r="I46" s="52"/>
      <x:c r="J46" s="52"/>
      <x:c r="K46" s="52"/>
      <x:c r="L46" s="52"/>
      <x:c r="M46" s="52"/>
      <x:c r="N46" s="69"/>
    </x:row>
    <x:row r="47">
      <x:c r="A47" s="49" t="str">
        <x:v>S-043</x:v>
      </x:c>
      <x:c r="B47" s="52"/>
      <x:c r="C47" s="110"/>
      <x:c r="D47" s="110"/>
      <x:c r="E47" s="110"/>
      <x:c r="F47" s="112" t="str">
        <x:f>IF(OR(D47="",E47=""),"",E47-D47)</x:f>
      </x:c>
      <x:c r="G47" s="111"/>
      <x:c r="H47" s="111"/>
      <x:c r="I47" s="52"/>
      <x:c r="J47" s="52"/>
      <x:c r="K47" s="52"/>
      <x:c r="L47" s="52"/>
      <x:c r="M47" s="52"/>
      <x:c r="N47" s="69"/>
    </x:row>
    <x:row r="48">
      <x:c r="A48" s="49" t="str">
        <x:v>S-044</x:v>
      </x:c>
      <x:c r="B48" s="52"/>
      <x:c r="C48" s="110"/>
      <x:c r="D48" s="110"/>
      <x:c r="E48" s="110"/>
      <x:c r="F48" s="112" t="str">
        <x:f>IF(OR(D48="",E48=""),"",E48-D48)</x:f>
      </x:c>
      <x:c r="G48" s="111"/>
      <x:c r="H48" s="111"/>
      <x:c r="I48" s="52"/>
      <x:c r="J48" s="52"/>
      <x:c r="K48" s="52"/>
      <x:c r="L48" s="52"/>
      <x:c r="M48" s="52"/>
      <x:c r="N48" s="69"/>
    </x:row>
    <x:row r="49">
      <x:c r="A49" s="49" t="str">
        <x:v>S-045</x:v>
      </x:c>
      <x:c r="B49" s="52"/>
      <x:c r="C49" s="110"/>
      <x:c r="D49" s="110"/>
      <x:c r="E49" s="110"/>
      <x:c r="F49" s="112" t="str">
        <x:f>IF(OR(D49="",E49=""),"",E49-D49)</x:f>
      </x:c>
      <x:c r="G49" s="111"/>
      <x:c r="H49" s="111"/>
      <x:c r="I49" s="52"/>
      <x:c r="J49" s="52"/>
      <x:c r="K49" s="52"/>
      <x:c r="L49" s="52"/>
      <x:c r="M49" s="52"/>
      <x:c r="N49" s="69"/>
    </x:row>
    <x:row r="50">
      <x:c r="A50" s="49" t="str">
        <x:v>S-046</x:v>
      </x:c>
      <x:c r="B50" s="52"/>
      <x:c r="C50" s="110"/>
      <x:c r="D50" s="110"/>
      <x:c r="E50" s="110"/>
      <x:c r="F50" s="112" t="str">
        <x:f>IF(OR(D50="",E50=""),"",E50-D50)</x:f>
      </x:c>
      <x:c r="G50" s="111"/>
      <x:c r="H50" s="111"/>
      <x:c r="I50" s="52"/>
      <x:c r="J50" s="52"/>
      <x:c r="K50" s="52"/>
      <x:c r="L50" s="52"/>
      <x:c r="M50" s="52"/>
      <x:c r="N50" s="69"/>
    </x:row>
    <x:row r="51">
      <x:c r="A51" s="49" t="str">
        <x:v>S-047</x:v>
      </x:c>
      <x:c r="B51" s="52"/>
      <x:c r="C51" s="110"/>
      <x:c r="D51" s="110"/>
      <x:c r="E51" s="110"/>
      <x:c r="F51" s="112" t="str">
        <x:f>IF(OR(D51="",E51=""),"",E51-D51)</x:f>
      </x:c>
      <x:c r="G51" s="111"/>
      <x:c r="H51" s="111"/>
      <x:c r="I51" s="52"/>
      <x:c r="J51" s="52"/>
      <x:c r="K51" s="52"/>
      <x:c r="L51" s="52"/>
      <x:c r="M51" s="52"/>
      <x:c r="N51" s="69"/>
    </x:row>
    <x:row r="52">
      <x:c r="A52" s="49" t="str">
        <x:v>S-048</x:v>
      </x:c>
      <x:c r="B52" s="52"/>
      <x:c r="C52" s="110"/>
      <x:c r="D52" s="110"/>
      <x:c r="E52" s="110"/>
      <x:c r="F52" s="112" t="str">
        <x:f>IF(OR(D52="",E52=""),"",E52-D52)</x:f>
      </x:c>
      <x:c r="G52" s="111"/>
      <x:c r="H52" s="111"/>
      <x:c r="I52" s="52"/>
      <x:c r="J52" s="52"/>
      <x:c r="K52" s="52"/>
      <x:c r="L52" s="52"/>
      <x:c r="M52" s="52"/>
      <x:c r="N52" s="69"/>
    </x:row>
    <x:row r="53">
      <x:c r="A53" s="49" t="str">
        <x:v>S-049</x:v>
      </x:c>
      <x:c r="B53" s="52"/>
      <x:c r="C53" s="110"/>
      <x:c r="D53" s="110"/>
      <x:c r="E53" s="110"/>
      <x:c r="F53" s="112" t="str">
        <x:f>IF(OR(D53="",E53=""),"",E53-D53)</x:f>
      </x:c>
      <x:c r="G53" s="111"/>
      <x:c r="H53" s="111"/>
      <x:c r="I53" s="52"/>
      <x:c r="J53" s="52"/>
      <x:c r="K53" s="52"/>
      <x:c r="L53" s="52"/>
      <x:c r="M53" s="52"/>
      <x:c r="N53" s="69"/>
    </x:row>
    <x:row r="54">
      <x:c r="A54" s="49" t="str">
        <x:v>S-050</x:v>
      </x:c>
      <x:c r="B54" s="52"/>
      <x:c r="C54" s="110"/>
      <x:c r="D54" s="110"/>
      <x:c r="E54" s="110"/>
      <x:c r="F54" s="112" t="str">
        <x:f>IF(OR(D54="",E54=""),"",E54-D54)</x:f>
      </x:c>
      <x:c r="G54" s="111"/>
      <x:c r="H54" s="111"/>
      <x:c r="I54" s="52"/>
      <x:c r="J54" s="52"/>
      <x:c r="K54" s="52"/>
      <x:c r="L54" s="52"/>
      <x:c r="M54" s="52"/>
      <x:c r="N54" s="69"/>
    </x:row>
    <x:row r="55">
      <x:c r="A55" s="49" t="str">
        <x:v>S-051</x:v>
      </x:c>
      <x:c r="B55" s="52"/>
      <x:c r="C55" s="110"/>
      <x:c r="D55" s="110"/>
      <x:c r="E55" s="110"/>
      <x:c r="F55" s="112" t="str">
        <x:f>IF(OR(D55="",E55=""),"",E55-D55)</x:f>
      </x:c>
      <x:c r="G55" s="111"/>
      <x:c r="H55" s="111"/>
      <x:c r="I55" s="52"/>
      <x:c r="J55" s="52"/>
      <x:c r="K55" s="52"/>
      <x:c r="L55" s="52"/>
      <x:c r="M55" s="52"/>
      <x:c r="N55" s="69"/>
    </x:row>
    <x:row r="56">
      <x:c r="A56" s="49" t="str">
        <x:v>S-052</x:v>
      </x:c>
      <x:c r="B56" s="52"/>
      <x:c r="C56" s="110"/>
      <x:c r="D56" s="110"/>
      <x:c r="E56" s="110"/>
      <x:c r="F56" s="112" t="str">
        <x:f>IF(OR(D56="",E56=""),"",E56-D56)</x:f>
      </x:c>
      <x:c r="G56" s="111"/>
      <x:c r="H56" s="111"/>
      <x:c r="I56" s="52"/>
      <x:c r="J56" s="52"/>
      <x:c r="K56" s="52"/>
      <x:c r="L56" s="52"/>
      <x:c r="M56" s="52"/>
      <x:c r="N56" s="69"/>
    </x:row>
    <x:row r="57">
      <x:c r="A57" s="49" t="str">
        <x:v>S-053</x:v>
      </x:c>
      <x:c r="B57" s="52"/>
      <x:c r="C57" s="110"/>
      <x:c r="D57" s="110"/>
      <x:c r="E57" s="110"/>
      <x:c r="F57" s="112" t="str">
        <x:f>IF(OR(D57="",E57=""),"",E57-D57)</x:f>
      </x:c>
      <x:c r="G57" s="111"/>
      <x:c r="H57" s="111"/>
      <x:c r="I57" s="52"/>
      <x:c r="J57" s="52"/>
      <x:c r="K57" s="52"/>
      <x:c r="L57" s="52"/>
      <x:c r="M57" s="52"/>
      <x:c r="N57" s="69"/>
    </x:row>
    <x:row r="58">
      <x:c r="A58" s="49" t="str">
        <x:v>S-054</x:v>
      </x:c>
      <x:c r="B58" s="52"/>
      <x:c r="C58" s="110"/>
      <x:c r="D58" s="110"/>
      <x:c r="E58" s="110"/>
      <x:c r="F58" s="112" t="str">
        <x:f>IF(OR(D58="",E58=""),"",E58-D58)</x:f>
      </x:c>
      <x:c r="G58" s="111"/>
      <x:c r="H58" s="111"/>
      <x:c r="I58" s="52"/>
      <x:c r="J58" s="52"/>
      <x:c r="K58" s="52"/>
      <x:c r="L58" s="52"/>
      <x:c r="M58" s="52"/>
      <x:c r="N58" s="69"/>
    </x:row>
    <x:row r="59">
      <x:c r="A59" s="49" t="str">
        <x:v>S-055</x:v>
      </x:c>
      <x:c r="B59" s="52"/>
      <x:c r="C59" s="110"/>
      <x:c r="D59" s="110"/>
      <x:c r="E59" s="110"/>
      <x:c r="F59" s="112" t="str">
        <x:f>IF(OR(D59="",E59=""),"",E59-D59)</x:f>
      </x:c>
      <x:c r="G59" s="111"/>
      <x:c r="H59" s="111"/>
      <x:c r="I59" s="52"/>
      <x:c r="J59" s="52"/>
      <x:c r="K59" s="52"/>
      <x:c r="L59" s="52"/>
      <x:c r="M59" s="52"/>
      <x:c r="N59" s="69"/>
    </x:row>
    <x:row r="60">
      <x:c r="A60" s="49" t="str">
        <x:v>S-056</x:v>
      </x:c>
      <x:c r="B60" s="52"/>
      <x:c r="C60" s="110"/>
      <x:c r="D60" s="110"/>
      <x:c r="E60" s="110"/>
      <x:c r="F60" s="112" t="str">
        <x:f>IF(OR(D60="",E60=""),"",E60-D60)</x:f>
      </x:c>
      <x:c r="G60" s="111"/>
      <x:c r="H60" s="111"/>
      <x:c r="I60" s="52"/>
      <x:c r="J60" s="52"/>
      <x:c r="K60" s="52"/>
      <x:c r="L60" s="52"/>
      <x:c r="M60" s="52"/>
      <x:c r="N60" s="69"/>
    </x:row>
    <x:row r="61">
      <x:c r="A61" s="49" t="str">
        <x:v>S-057</x:v>
      </x:c>
      <x:c r="B61" s="52"/>
      <x:c r="C61" s="110"/>
      <x:c r="D61" s="110"/>
      <x:c r="E61" s="110"/>
      <x:c r="F61" s="112" t="str">
        <x:f>IF(OR(D61="",E61=""),"",E61-D61)</x:f>
      </x:c>
      <x:c r="G61" s="111"/>
      <x:c r="H61" s="111"/>
      <x:c r="I61" s="52"/>
      <x:c r="J61" s="52"/>
      <x:c r="K61" s="52"/>
      <x:c r="L61" s="52"/>
      <x:c r="M61" s="52"/>
      <x:c r="N61" s="69"/>
    </x:row>
    <x:row r="62">
      <x:c r="A62" s="49" t="str">
        <x:v>S-058</x:v>
      </x:c>
      <x:c r="B62" s="52"/>
      <x:c r="C62" s="110"/>
      <x:c r="D62" s="110"/>
      <x:c r="E62" s="110"/>
      <x:c r="F62" s="112" t="str">
        <x:f>IF(OR(D62="",E62=""),"",E62-D62)</x:f>
      </x:c>
      <x:c r="G62" s="111"/>
      <x:c r="H62" s="111"/>
      <x:c r="I62" s="52"/>
      <x:c r="J62" s="52"/>
      <x:c r="K62" s="52"/>
      <x:c r="L62" s="52"/>
      <x:c r="M62" s="52"/>
      <x:c r="N62" s="69"/>
    </x:row>
    <x:row r="63">
      <x:c r="A63" s="49" t="str">
        <x:v>S-059</x:v>
      </x:c>
      <x:c r="B63" s="52"/>
      <x:c r="C63" s="110"/>
      <x:c r="D63" s="110"/>
      <x:c r="E63" s="110"/>
      <x:c r="F63" s="112" t="str">
        <x:f>IF(OR(D63="",E63=""),"",E63-D63)</x:f>
      </x:c>
      <x:c r="G63" s="111"/>
      <x:c r="H63" s="111"/>
      <x:c r="I63" s="52"/>
      <x:c r="J63" s="52"/>
      <x:c r="K63" s="52"/>
      <x:c r="L63" s="52"/>
      <x:c r="M63" s="52"/>
      <x:c r="N63" s="69"/>
    </x:row>
    <x:row r="64">
      <x:c r="A64" s="49" t="str">
        <x:v>S-060</x:v>
      </x:c>
      <x:c r="B64" s="52"/>
      <x:c r="C64" s="110"/>
      <x:c r="D64" s="110"/>
      <x:c r="E64" s="110"/>
      <x:c r="F64" s="112" t="str">
        <x:f>IF(OR(D64="",E64=""),"",E64-D64)</x:f>
      </x:c>
      <x:c r="G64" s="111"/>
      <x:c r="H64" s="111"/>
      <x:c r="I64" s="52"/>
      <x:c r="J64" s="52"/>
      <x:c r="K64" s="52"/>
      <x:c r="L64" s="52"/>
      <x:c r="M64" s="52"/>
      <x:c r="N64" s="69"/>
    </x:row>
    <x:row r="65">
      <x:c r="A65" s="49" t="str">
        <x:v>S-061</x:v>
      </x:c>
      <x:c r="B65" s="52"/>
      <x:c r="C65" s="110"/>
      <x:c r="D65" s="110"/>
      <x:c r="E65" s="110"/>
      <x:c r="F65" s="112" t="str">
        <x:f>IF(OR(D65="",E65=""),"",E65-D65)</x:f>
      </x:c>
      <x:c r="G65" s="111"/>
      <x:c r="H65" s="111"/>
      <x:c r="I65" s="52"/>
      <x:c r="J65" s="52"/>
      <x:c r="K65" s="52"/>
      <x:c r="L65" s="52"/>
      <x:c r="M65" s="52"/>
      <x:c r="N65" s="69"/>
    </x:row>
    <x:row r="66">
      <x:c r="A66" s="49" t="str">
        <x:v>S-062</x:v>
      </x:c>
      <x:c r="B66" s="52"/>
      <x:c r="C66" s="110"/>
      <x:c r="D66" s="110"/>
      <x:c r="E66" s="110"/>
      <x:c r="F66" s="112" t="str">
        <x:f>IF(OR(D66="",E66=""),"",E66-D66)</x:f>
      </x:c>
      <x:c r="G66" s="111"/>
      <x:c r="H66" s="111"/>
      <x:c r="I66" s="52"/>
      <x:c r="J66" s="52"/>
      <x:c r="K66" s="52"/>
      <x:c r="L66" s="52"/>
      <x:c r="M66" s="52"/>
      <x:c r="N66" s="69"/>
    </x:row>
    <x:row r="67">
      <x:c r="A67" s="49" t="str">
        <x:v>S-063</x:v>
      </x:c>
      <x:c r="B67" s="52"/>
      <x:c r="C67" s="110"/>
      <x:c r="D67" s="110"/>
      <x:c r="E67" s="110"/>
      <x:c r="F67" s="112" t="str">
        <x:f>IF(OR(D67="",E67=""),"",E67-D67)</x:f>
      </x:c>
      <x:c r="G67" s="111"/>
      <x:c r="H67" s="111"/>
      <x:c r="I67" s="52"/>
      <x:c r="J67" s="52"/>
      <x:c r="K67" s="52"/>
      <x:c r="L67" s="52"/>
      <x:c r="M67" s="52"/>
      <x:c r="N67" s="69"/>
    </x:row>
    <x:row r="68">
      <x:c r="A68" s="49" t="str">
        <x:v>S-064</x:v>
      </x:c>
      <x:c r="B68" s="52"/>
      <x:c r="C68" s="110"/>
      <x:c r="D68" s="110"/>
      <x:c r="E68" s="110"/>
      <x:c r="F68" s="112" t="str">
        <x:f>IF(OR(D68="",E68=""),"",E68-D68)</x:f>
      </x:c>
      <x:c r="G68" s="111"/>
      <x:c r="H68" s="111"/>
      <x:c r="I68" s="52"/>
      <x:c r="J68" s="52"/>
      <x:c r="K68" s="52"/>
      <x:c r="L68" s="52"/>
      <x:c r="M68" s="52"/>
      <x:c r="N68" s="69"/>
    </x:row>
    <x:row r="69">
      <x:c r="A69" s="49" t="str">
        <x:v>S-065</x:v>
      </x:c>
      <x:c r="B69" s="52"/>
      <x:c r="C69" s="110"/>
      <x:c r="D69" s="110"/>
      <x:c r="E69" s="110"/>
      <x:c r="F69" s="112" t="str">
        <x:f>IF(OR(D69="",E69=""),"",E69-D69)</x:f>
      </x:c>
      <x:c r="G69" s="111"/>
      <x:c r="H69" s="111"/>
      <x:c r="I69" s="52"/>
      <x:c r="J69" s="52"/>
      <x:c r="K69" s="52"/>
      <x:c r="L69" s="52"/>
      <x:c r="M69" s="52"/>
      <x:c r="N69" s="69"/>
    </x:row>
    <x:row r="70">
      <x:c r="A70" s="49" t="str">
        <x:v>S-066</x:v>
      </x:c>
      <x:c r="B70" s="52"/>
      <x:c r="C70" s="110"/>
      <x:c r="D70" s="110"/>
      <x:c r="E70" s="110"/>
      <x:c r="F70" s="112" t="str">
        <x:f>IF(OR(D70="",E70=""),"",E70-D70)</x:f>
      </x:c>
      <x:c r="G70" s="111"/>
      <x:c r="H70" s="111"/>
      <x:c r="I70" s="52"/>
      <x:c r="J70" s="52"/>
      <x:c r="K70" s="52"/>
      <x:c r="L70" s="52"/>
      <x:c r="M70" s="52"/>
      <x:c r="N70" s="69"/>
    </x:row>
    <x:row r="71">
      <x:c r="A71" s="49" t="str">
        <x:v>S-067</x:v>
      </x:c>
      <x:c r="B71" s="52"/>
      <x:c r="C71" s="110"/>
      <x:c r="D71" s="110"/>
      <x:c r="E71" s="110"/>
      <x:c r="F71" s="112" t="str">
        <x:f>IF(OR(D71="",E71=""),"",E71-D71)</x:f>
      </x:c>
      <x:c r="G71" s="111"/>
      <x:c r="H71" s="111"/>
      <x:c r="I71" s="52"/>
      <x:c r="J71" s="52"/>
      <x:c r="K71" s="52"/>
      <x:c r="L71" s="52"/>
      <x:c r="M71" s="52"/>
      <x:c r="N71" s="69"/>
    </x:row>
    <x:row r="72">
      <x:c r="A72" s="49" t="str">
        <x:v>S-068</x:v>
      </x:c>
      <x:c r="B72" s="52"/>
      <x:c r="C72" s="110"/>
      <x:c r="D72" s="110"/>
      <x:c r="E72" s="110"/>
      <x:c r="F72" s="112" t="str">
        <x:f>IF(OR(D72="",E72=""),"",E72-D72)</x:f>
      </x:c>
      <x:c r="G72" s="111"/>
      <x:c r="H72" s="111"/>
      <x:c r="I72" s="52"/>
      <x:c r="J72" s="52"/>
      <x:c r="K72" s="52"/>
      <x:c r="L72" s="52"/>
      <x:c r="M72" s="52"/>
      <x:c r="N72" s="69"/>
    </x:row>
    <x:row r="73">
      <x:c r="A73" s="49" t="str">
        <x:v>S-069</x:v>
      </x:c>
      <x:c r="B73" s="52"/>
      <x:c r="C73" s="110"/>
      <x:c r="D73" s="110"/>
      <x:c r="E73" s="110"/>
      <x:c r="F73" s="112" t="str">
        <x:f>IF(OR(D73="",E73=""),"",E73-D73)</x:f>
      </x:c>
      <x:c r="G73" s="111"/>
      <x:c r="H73" s="111"/>
      <x:c r="I73" s="52"/>
      <x:c r="J73" s="52"/>
      <x:c r="K73" s="52"/>
      <x:c r="L73" s="52"/>
      <x:c r="M73" s="52"/>
      <x:c r="N73" s="69"/>
    </x:row>
    <x:row r="74">
      <x:c r="A74" s="49" t="str">
        <x:v>S-070</x:v>
      </x:c>
      <x:c r="B74" s="52"/>
      <x:c r="C74" s="110"/>
      <x:c r="D74" s="110"/>
      <x:c r="E74" s="110"/>
      <x:c r="F74" s="112" t="str">
        <x:f>IF(OR(D74="",E74=""),"",E74-D74)</x:f>
      </x:c>
      <x:c r="G74" s="111"/>
      <x:c r="H74" s="111"/>
      <x:c r="I74" s="52"/>
      <x:c r="J74" s="52"/>
      <x:c r="K74" s="52"/>
      <x:c r="L74" s="52"/>
      <x:c r="M74" s="52"/>
      <x:c r="N74" s="69"/>
    </x:row>
    <x:row r="75">
      <x:c r="A75" s="49" t="str">
        <x:v>S-071</x:v>
      </x:c>
      <x:c r="B75" s="52"/>
      <x:c r="C75" s="110"/>
      <x:c r="D75" s="110"/>
      <x:c r="E75" s="110"/>
      <x:c r="F75" s="112" t="str">
        <x:f>IF(OR(D75="",E75=""),"",E75-D75)</x:f>
      </x:c>
      <x:c r="G75" s="111"/>
      <x:c r="H75" s="111"/>
      <x:c r="I75" s="52"/>
      <x:c r="J75" s="52"/>
      <x:c r="K75" s="52"/>
      <x:c r="L75" s="52"/>
      <x:c r="M75" s="52"/>
      <x:c r="N75" s="69"/>
    </x:row>
    <x:row r="76">
      <x:c r="A76" s="49" t="str">
        <x:v>S-072</x:v>
      </x:c>
      <x:c r="B76" s="52"/>
      <x:c r="C76" s="110"/>
      <x:c r="D76" s="110"/>
      <x:c r="E76" s="110"/>
      <x:c r="F76" s="112" t="str">
        <x:f>IF(OR(D76="",E76=""),"",E76-D76)</x:f>
      </x:c>
      <x:c r="G76" s="111"/>
      <x:c r="H76" s="111"/>
      <x:c r="I76" s="52"/>
      <x:c r="J76" s="52"/>
      <x:c r="K76" s="52"/>
      <x:c r="L76" s="52"/>
      <x:c r="M76" s="52"/>
      <x:c r="N76" s="69"/>
    </x:row>
    <x:row r="77">
      <x:c r="A77" s="49" t="str">
        <x:v>S-073</x:v>
      </x:c>
      <x:c r="B77" s="52"/>
      <x:c r="C77" s="110"/>
      <x:c r="D77" s="110"/>
      <x:c r="E77" s="110"/>
      <x:c r="F77" s="112" t="str">
        <x:f>IF(OR(D77="",E77=""),"",E77-D77)</x:f>
      </x:c>
      <x:c r="G77" s="111"/>
      <x:c r="H77" s="111"/>
      <x:c r="I77" s="52"/>
      <x:c r="J77" s="52"/>
      <x:c r="K77" s="52"/>
      <x:c r="L77" s="52"/>
      <x:c r="M77" s="52"/>
      <x:c r="N77" s="69"/>
    </x:row>
    <x:row r="78">
      <x:c r="A78" s="49" t="str">
        <x:v>S-074</x:v>
      </x:c>
      <x:c r="B78" s="52"/>
      <x:c r="C78" s="110"/>
      <x:c r="D78" s="110"/>
      <x:c r="E78" s="110"/>
      <x:c r="F78" s="112" t="str">
        <x:f>IF(OR(D78="",E78=""),"",E78-D78)</x:f>
      </x:c>
      <x:c r="G78" s="111"/>
      <x:c r="H78" s="111"/>
      <x:c r="I78" s="52"/>
      <x:c r="J78" s="52"/>
      <x:c r="K78" s="52"/>
      <x:c r="L78" s="52"/>
      <x:c r="M78" s="52"/>
      <x:c r="N78" s="69"/>
    </x:row>
    <x:row r="79">
      <x:c r="A79" s="49" t="str">
        <x:v>S-075</x:v>
      </x:c>
      <x:c r="B79" s="52"/>
      <x:c r="C79" s="110"/>
      <x:c r="D79" s="110"/>
      <x:c r="E79" s="110"/>
      <x:c r="F79" s="112" t="str">
        <x:f>IF(OR(D79="",E79=""),"",E79-D79)</x:f>
      </x:c>
      <x:c r="G79" s="111"/>
      <x:c r="H79" s="111"/>
      <x:c r="I79" s="52"/>
      <x:c r="J79" s="52"/>
      <x:c r="K79" s="52"/>
      <x:c r="L79" s="52"/>
      <x:c r="M79" s="52"/>
      <x:c r="N79" s="69"/>
    </x:row>
    <x:row r="80">
      <x:c r="A80" s="49" t="str">
        <x:v>S-076</x:v>
      </x:c>
      <x:c r="B80" s="52"/>
      <x:c r="C80" s="110"/>
      <x:c r="D80" s="110"/>
      <x:c r="E80" s="110"/>
      <x:c r="F80" s="112" t="str">
        <x:f>IF(OR(D80="",E80=""),"",E80-D80)</x:f>
      </x:c>
      <x:c r="G80" s="111"/>
      <x:c r="H80" s="111"/>
      <x:c r="I80" s="52"/>
      <x:c r="J80" s="52"/>
      <x:c r="K80" s="52"/>
      <x:c r="L80" s="52"/>
      <x:c r="M80" s="52"/>
      <x:c r="N80" s="69"/>
    </x:row>
    <x:row r="81">
      <x:c r="A81" s="49" t="str">
        <x:v>S-077</x:v>
      </x:c>
      <x:c r="B81" s="52"/>
      <x:c r="C81" s="110"/>
      <x:c r="D81" s="110"/>
      <x:c r="E81" s="110"/>
      <x:c r="F81" s="112" t="str">
        <x:f>IF(OR(D81="",E81=""),"",E81-D81)</x:f>
      </x:c>
      <x:c r="G81" s="111"/>
      <x:c r="H81" s="111"/>
      <x:c r="I81" s="52"/>
      <x:c r="J81" s="52"/>
      <x:c r="K81" s="52"/>
      <x:c r="L81" s="52"/>
      <x:c r="M81" s="52"/>
      <x:c r="N81" s="69"/>
    </x:row>
    <x:row r="82">
      <x:c r="A82" s="49" t="str">
        <x:v>S-078</x:v>
      </x:c>
      <x:c r="B82" s="52"/>
      <x:c r="C82" s="110"/>
      <x:c r="D82" s="110"/>
      <x:c r="E82" s="110"/>
      <x:c r="F82" s="112" t="str">
        <x:f>IF(OR(D82="",E82=""),"",E82-D82)</x:f>
      </x:c>
      <x:c r="G82" s="111"/>
      <x:c r="H82" s="111"/>
      <x:c r="I82" s="52"/>
      <x:c r="J82" s="52"/>
      <x:c r="K82" s="52"/>
      <x:c r="L82" s="52"/>
      <x:c r="M82" s="52"/>
      <x:c r="N82" s="69"/>
    </x:row>
    <x:row r="83">
      <x:c r="A83" s="49" t="str">
        <x:v>S-079</x:v>
      </x:c>
      <x:c r="B83" s="52"/>
      <x:c r="C83" s="110"/>
      <x:c r="D83" s="110"/>
      <x:c r="E83" s="110"/>
      <x:c r="F83" s="112" t="str">
        <x:f>IF(OR(D83="",E83=""),"",E83-D83)</x:f>
      </x:c>
      <x:c r="G83" s="111"/>
      <x:c r="H83" s="111"/>
      <x:c r="I83" s="52"/>
      <x:c r="J83" s="52"/>
      <x:c r="K83" s="52"/>
      <x:c r="L83" s="52"/>
      <x:c r="M83" s="52"/>
      <x:c r="N83" s="69"/>
    </x:row>
    <x:row r="84">
      <x:c r="A84" s="49" t="str">
        <x:v>S-080</x:v>
      </x:c>
      <x:c r="B84" s="52"/>
      <x:c r="C84" s="110"/>
      <x:c r="D84" s="110"/>
      <x:c r="E84" s="110"/>
      <x:c r="F84" s="112" t="str">
        <x:f>IF(OR(D84="",E84=""),"",E84-D84)</x:f>
      </x:c>
      <x:c r="G84" s="111"/>
      <x:c r="H84" s="111"/>
      <x:c r="I84" s="52"/>
      <x:c r="J84" s="52"/>
      <x:c r="K84" s="52"/>
      <x:c r="L84" s="52"/>
      <x:c r="M84" s="52"/>
      <x:c r="N84" s="69"/>
    </x:row>
    <x:row r="85">
      <x:c r="A85" s="49" t="str">
        <x:v>S-081</x:v>
      </x:c>
      <x:c r="B85" s="52"/>
      <x:c r="C85" s="110"/>
      <x:c r="D85" s="110"/>
      <x:c r="E85" s="110"/>
      <x:c r="F85" s="112" t="str">
        <x:f>IF(OR(D85="",E85=""),"",E85-D85)</x:f>
      </x:c>
      <x:c r="G85" s="111"/>
      <x:c r="H85" s="111"/>
      <x:c r="I85" s="52"/>
      <x:c r="J85" s="52"/>
      <x:c r="K85" s="52"/>
      <x:c r="L85" s="52"/>
      <x:c r="M85" s="52"/>
      <x:c r="N85" s="69"/>
    </x:row>
    <x:row r="86">
      <x:c r="A86" s="49" t="str">
        <x:v>S-082</x:v>
      </x:c>
      <x:c r="B86" s="52"/>
      <x:c r="C86" s="110"/>
      <x:c r="D86" s="110"/>
      <x:c r="E86" s="110"/>
      <x:c r="F86" s="112" t="str">
        <x:f>IF(OR(D86="",E86=""),"",E86-D86)</x:f>
      </x:c>
      <x:c r="G86" s="111"/>
      <x:c r="H86" s="111"/>
      <x:c r="I86" s="52"/>
      <x:c r="J86" s="52"/>
      <x:c r="K86" s="52"/>
      <x:c r="L86" s="52"/>
      <x:c r="M86" s="52"/>
      <x:c r="N86" s="69"/>
    </x:row>
    <x:row r="87">
      <x:c r="A87" s="49" t="str">
        <x:v>S-083</x:v>
      </x:c>
      <x:c r="B87" s="52"/>
      <x:c r="C87" s="110"/>
      <x:c r="D87" s="110"/>
      <x:c r="E87" s="110"/>
      <x:c r="F87" s="112" t="str">
        <x:f>IF(OR(D87="",E87=""),"",E87-D87)</x:f>
      </x:c>
      <x:c r="G87" s="111"/>
      <x:c r="H87" s="111"/>
      <x:c r="I87" s="52"/>
      <x:c r="J87" s="52"/>
      <x:c r="K87" s="52"/>
      <x:c r="L87" s="52"/>
      <x:c r="M87" s="52"/>
      <x:c r="N87" s="69"/>
    </x:row>
    <x:row r="88">
      <x:c r="A88" s="49" t="str">
        <x:v>S-084</x:v>
      </x:c>
      <x:c r="B88" s="52"/>
      <x:c r="C88" s="110"/>
      <x:c r="D88" s="110"/>
      <x:c r="E88" s="110"/>
      <x:c r="F88" s="112" t="str">
        <x:f>IF(OR(D88="",E88=""),"",E88-D88)</x:f>
      </x:c>
      <x:c r="G88" s="111"/>
      <x:c r="H88" s="111"/>
      <x:c r="I88" s="52"/>
      <x:c r="J88" s="52"/>
      <x:c r="K88" s="52"/>
      <x:c r="L88" s="52"/>
      <x:c r="M88" s="52"/>
      <x:c r="N88" s="69"/>
    </x:row>
    <x:row r="89">
      <x:c r="A89" s="49" t="str">
        <x:v>S-085</x:v>
      </x:c>
      <x:c r="B89" s="52"/>
      <x:c r="C89" s="110"/>
      <x:c r="D89" s="110"/>
      <x:c r="E89" s="110"/>
      <x:c r="F89" s="112" t="str">
        <x:f>IF(OR(D89="",E89=""),"",E89-D89)</x:f>
      </x:c>
      <x:c r="G89" s="111"/>
      <x:c r="H89" s="111"/>
      <x:c r="I89" s="52"/>
      <x:c r="J89" s="52"/>
      <x:c r="K89" s="52"/>
      <x:c r="L89" s="52"/>
      <x:c r="M89" s="52"/>
      <x:c r="N89" s="69"/>
    </x:row>
    <x:row r="90">
      <x:c r="A90" s="49" t="str">
        <x:v>S-086</x:v>
      </x:c>
      <x:c r="B90" s="52"/>
      <x:c r="C90" s="110"/>
      <x:c r="D90" s="110"/>
      <x:c r="E90" s="110"/>
      <x:c r="F90" s="112" t="str">
        <x:f>IF(OR(D90="",E90=""),"",E90-D90)</x:f>
      </x:c>
      <x:c r="G90" s="111"/>
      <x:c r="H90" s="111"/>
      <x:c r="I90" s="52"/>
      <x:c r="J90" s="52"/>
      <x:c r="K90" s="52"/>
      <x:c r="L90" s="52"/>
      <x:c r="M90" s="52"/>
      <x:c r="N90" s="69"/>
    </x:row>
    <x:row r="91">
      <x:c r="A91" s="49" t="str">
        <x:v>S-087</x:v>
      </x:c>
      <x:c r="B91" s="52"/>
      <x:c r="C91" s="110"/>
      <x:c r="D91" s="110"/>
      <x:c r="E91" s="110"/>
      <x:c r="F91" s="112" t="str">
        <x:f>IF(OR(D91="",E91=""),"",E91-D91)</x:f>
      </x:c>
      <x:c r="G91" s="111"/>
      <x:c r="H91" s="111"/>
      <x:c r="I91" s="52"/>
      <x:c r="J91" s="52"/>
      <x:c r="K91" s="52"/>
      <x:c r="L91" s="52"/>
      <x:c r="M91" s="52"/>
      <x:c r="N91" s="69"/>
    </x:row>
    <x:row r="92">
      <x:c r="A92" s="49" t="str">
        <x:v>S-088</x:v>
      </x:c>
      <x:c r="B92" s="52"/>
      <x:c r="C92" s="110"/>
      <x:c r="D92" s="110"/>
      <x:c r="E92" s="110"/>
      <x:c r="F92" s="112" t="str">
        <x:f>IF(OR(D92="",E92=""),"",E92-D92)</x:f>
      </x:c>
      <x:c r="G92" s="111"/>
      <x:c r="H92" s="111"/>
      <x:c r="I92" s="52"/>
      <x:c r="J92" s="52"/>
      <x:c r="K92" s="52"/>
      <x:c r="L92" s="52"/>
      <x:c r="M92" s="52"/>
      <x:c r="N92" s="69"/>
    </x:row>
    <x:row r="93">
      <x:c r="A93" s="49" t="str">
        <x:v>S-089</x:v>
      </x:c>
      <x:c r="B93" s="52"/>
      <x:c r="C93" s="110"/>
      <x:c r="D93" s="110"/>
      <x:c r="E93" s="110"/>
      <x:c r="F93" s="112" t="str">
        <x:f>IF(OR(D93="",E93=""),"",E93-D93)</x:f>
      </x:c>
      <x:c r="G93" s="111"/>
      <x:c r="H93" s="111"/>
      <x:c r="I93" s="52"/>
      <x:c r="J93" s="52"/>
      <x:c r="K93" s="52"/>
      <x:c r="L93" s="52"/>
      <x:c r="M93" s="52"/>
      <x:c r="N93" s="69"/>
    </x:row>
    <x:row r="94">
      <x:c r="A94" s="49" t="str">
        <x:v>S-090</x:v>
      </x:c>
      <x:c r="B94" s="52"/>
      <x:c r="C94" s="110"/>
      <x:c r="D94" s="110"/>
      <x:c r="E94" s="110"/>
      <x:c r="F94" s="112" t="str">
        <x:f>IF(OR(D94="",E94=""),"",E94-D94)</x:f>
      </x:c>
      <x:c r="G94" s="111"/>
      <x:c r="H94" s="111"/>
      <x:c r="I94" s="52"/>
      <x:c r="J94" s="52"/>
      <x:c r="K94" s="52"/>
      <x:c r="L94" s="52"/>
      <x:c r="M94" s="52"/>
      <x:c r="N94" s="69"/>
    </x:row>
    <x:row r="95">
      <x:c r="A95" s="49" t="str">
        <x:v>S-091</x:v>
      </x:c>
      <x:c r="B95" s="52"/>
      <x:c r="C95" s="110"/>
      <x:c r="D95" s="110"/>
      <x:c r="E95" s="110"/>
      <x:c r="F95" s="112" t="str">
        <x:f>IF(OR(D95="",E95=""),"",E95-D95)</x:f>
      </x:c>
      <x:c r="G95" s="111"/>
      <x:c r="H95" s="111"/>
      <x:c r="I95" s="52"/>
      <x:c r="J95" s="52"/>
      <x:c r="K95" s="52"/>
      <x:c r="L95" s="52"/>
      <x:c r="M95" s="52"/>
      <x:c r="N95" s="69"/>
    </x:row>
    <x:row r="96">
      <x:c r="A96" s="49" t="str">
        <x:v>S-092</x:v>
      </x:c>
      <x:c r="B96" s="52"/>
      <x:c r="C96" s="110"/>
      <x:c r="D96" s="110"/>
      <x:c r="E96" s="110"/>
      <x:c r="F96" s="112" t="str">
        <x:f>IF(OR(D96="",E96=""),"",E96-D96)</x:f>
      </x:c>
      <x:c r="G96" s="111"/>
      <x:c r="H96" s="111"/>
      <x:c r="I96" s="52"/>
      <x:c r="J96" s="52"/>
      <x:c r="K96" s="52"/>
      <x:c r="L96" s="52"/>
      <x:c r="M96" s="52"/>
      <x:c r="N96" s="69"/>
    </x:row>
    <x:row r="97">
      <x:c r="A97" s="49" t="str">
        <x:v>S-093</x:v>
      </x:c>
      <x:c r="B97" s="52"/>
      <x:c r="C97" s="110"/>
      <x:c r="D97" s="110"/>
      <x:c r="E97" s="110"/>
      <x:c r="F97" s="112" t="str">
        <x:f>IF(OR(D97="",E97=""),"",E97-D97)</x:f>
      </x:c>
      <x:c r="G97" s="111"/>
      <x:c r="H97" s="111"/>
      <x:c r="I97" s="52"/>
      <x:c r="J97" s="52"/>
      <x:c r="K97" s="52"/>
      <x:c r="L97" s="52"/>
      <x:c r="M97" s="52"/>
      <x:c r="N97" s="69"/>
    </x:row>
    <x:row r="98">
      <x:c r="A98" s="49" t="str">
        <x:v>S-094</x:v>
      </x:c>
      <x:c r="B98" s="52"/>
      <x:c r="C98" s="110"/>
      <x:c r="D98" s="110"/>
      <x:c r="E98" s="110"/>
      <x:c r="F98" s="112" t="str">
        <x:f>IF(OR(D98="",E98=""),"",E98-D98)</x:f>
      </x:c>
      <x:c r="G98" s="111"/>
      <x:c r="H98" s="111"/>
      <x:c r="I98" s="52"/>
      <x:c r="J98" s="52"/>
      <x:c r="K98" s="52"/>
      <x:c r="L98" s="52"/>
      <x:c r="M98" s="52"/>
      <x:c r="N98" s="69"/>
    </x:row>
    <x:row r="99">
      <x:c r="A99" s="49" t="str">
        <x:v>S-095</x:v>
      </x:c>
      <x:c r="B99" s="52"/>
      <x:c r="C99" s="110"/>
      <x:c r="D99" s="110"/>
      <x:c r="E99" s="110"/>
      <x:c r="F99" s="112" t="str">
        <x:f>IF(OR(D99="",E99=""),"",E99-D99)</x:f>
      </x:c>
      <x:c r="G99" s="111"/>
      <x:c r="H99" s="111"/>
      <x:c r="I99" s="52"/>
      <x:c r="J99" s="52"/>
      <x:c r="K99" s="52"/>
      <x:c r="L99" s="52"/>
      <x:c r="M99" s="52"/>
      <x:c r="N99" s="69"/>
    </x:row>
    <x:row r="100">
      <x:c r="A100" s="49" t="str">
        <x:v>S-096</x:v>
      </x:c>
      <x:c r="B100" s="52"/>
      <x:c r="C100" s="110"/>
      <x:c r="D100" s="110"/>
      <x:c r="E100" s="110"/>
      <x:c r="F100" s="112" t="str">
        <x:f>IF(OR(D100="",E100=""),"",E100-D100)</x:f>
      </x:c>
      <x:c r="G100" s="111"/>
      <x:c r="H100" s="111"/>
      <x:c r="I100" s="52"/>
      <x:c r="J100" s="52"/>
      <x:c r="K100" s="52"/>
      <x:c r="L100" s="52"/>
      <x:c r="M100" s="52"/>
      <x:c r="N100" s="69"/>
    </x:row>
    <x:row r="101">
      <x:c r="A101" s="49" t="str">
        <x:v>S-097</x:v>
      </x:c>
      <x:c r="B101" s="52"/>
      <x:c r="C101" s="110"/>
      <x:c r="D101" s="110"/>
      <x:c r="E101" s="110"/>
      <x:c r="F101" s="112" t="str">
        <x:f>IF(OR(D101="",E101=""),"",E101-D101)</x:f>
      </x:c>
      <x:c r="G101" s="111"/>
      <x:c r="H101" s="111"/>
      <x:c r="I101" s="52"/>
      <x:c r="J101" s="52"/>
      <x:c r="K101" s="52"/>
      <x:c r="L101" s="52"/>
      <x:c r="M101" s="52"/>
      <x:c r="N101" s="69"/>
    </x:row>
    <x:row r="102">
      <x:c r="A102" s="49" t="str">
        <x:v>S-098</x:v>
      </x:c>
      <x:c r="B102" s="52"/>
      <x:c r="C102" s="110"/>
      <x:c r="D102" s="110"/>
      <x:c r="E102" s="110"/>
      <x:c r="F102" s="112" t="str">
        <x:f>IF(OR(D102="",E102=""),"",E102-D102)</x:f>
      </x:c>
      <x:c r="G102" s="111"/>
      <x:c r="H102" s="111"/>
      <x:c r="I102" s="52"/>
      <x:c r="J102" s="52"/>
      <x:c r="K102" s="52"/>
      <x:c r="L102" s="52"/>
      <x:c r="M102" s="52"/>
      <x:c r="N102" s="69"/>
    </x:row>
    <x:row r="103">
      <x:c r="A103" s="49" t="str">
        <x:v>S-099</x:v>
      </x:c>
      <x:c r="B103" s="52"/>
      <x:c r="C103" s="110"/>
      <x:c r="D103" s="110"/>
      <x:c r="E103" s="110"/>
      <x:c r="F103" s="112" t="str">
        <x:f>IF(OR(D103="",E103=""),"",E103-D103)</x:f>
      </x:c>
      <x:c r="G103" s="111"/>
      <x:c r="H103" s="111"/>
      <x:c r="I103" s="52"/>
      <x:c r="J103" s="52"/>
      <x:c r="K103" s="52"/>
      <x:c r="L103" s="52"/>
      <x:c r="M103" s="52"/>
      <x:c r="N103" s="69"/>
    </x:row>
    <x:row r="104">
      <x:c r="A104" s="54" t="str">
        <x:v>S-100</x:v>
      </x:c>
      <x:c r="B104" s="55"/>
      <x:c r="C104" s="117"/>
      <x:c r="D104" s="117"/>
      <x:c r="E104" s="117"/>
      <x:c r="F104" s="119" t="str">
        <x:f>IF(OR(D104="",E104=""),"",E104-D104)</x:f>
      </x:c>
      <x:c r="G104" s="118"/>
      <x:c r="H104" s="118"/>
      <x:c r="I104" s="55"/>
      <x:c r="J104" s="55"/>
      <x:c r="K104" s="55"/>
      <x:c r="L104" s="55"/>
      <x:c r="M104" s="55"/>
      <x:c r="N104" s="7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dbdb46a88e44a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42" hidden="0" customWidth="1"/>
    <x:col min="20" max="20" width="42" hidden="0" customWidth="1"/>
    <x:col min="21" max="21" width="20" hidden="0" customWidth="1"/>
    <x:col min="22" max="22" width="20" hidden="0" customWidth="1"/>
  </x:cols>
  <x:sheetData>
    <x:row r="1" ht="30" customHeight="1">
      <x:c r="A1" s="26" t="str">
        <x:v>DATASET DE TIRO — NO USAR EN T8.1 SIN PIEZAS</x:v>
      </x:c>
      <x:c r="B1" s="26" t="str">
        <x:v>DATASET DE TIRO — NO USAR EN T8.1 SIN PIEZAS</x:v>
      </x:c>
      <x:c r="C1" s="26" t="str">
        <x:v>DATASET DE TIRO — NO USAR EN T8.1 SIN PIEZAS</x:v>
      </x:c>
      <x:c r="D1" s="26" t="str">
        <x:v>DATASET DE TIRO — NO USAR EN T8.1 SIN PIEZAS</x:v>
      </x:c>
      <x:c r="E1" s="26" t="str">
        <x:v>DATASET DE TIRO — NO USAR EN T8.1 SIN PIEZAS</x:v>
      </x:c>
      <x:c r="F1" s="26" t="str">
        <x:v>DATASET DE TIRO — NO USAR EN T8.1 SIN PIEZAS</x:v>
      </x:c>
      <x:c r="G1" s="26" t="str">
        <x:v>DATASET DE TIRO — NO USAR EN T8.1 SIN PIEZAS</x:v>
      </x:c>
      <x:c r="H1" s="26" t="str">
        <x:v>DATASET DE TIRO — NO USAR EN T8.1 SIN PIEZAS</x:v>
      </x:c>
      <x:c r="I1" s="26" t="str">
        <x:v>DATASET DE TIRO — NO USAR EN T8.1 SIN PIEZAS</x:v>
      </x:c>
      <x:c r="J1" s="26" t="str">
        <x:v>DATASET DE TIRO — NO USAR EN T8.1 SIN PIEZAS</x:v>
      </x:c>
      <x:c r="K1" s="26" t="str">
        <x:v>DATASET DE TIRO — NO USAR EN T8.1 SIN PIEZAS</x:v>
      </x:c>
      <x:c r="L1" s="26" t="str">
        <x:v>DATASET DE TIRO — NO USAR EN T8.1 SIN PIEZAS</x:v>
      </x:c>
      <x:c r="M1" s="26" t="str">
        <x:v>DATASET DE TIRO — NO USAR EN T8.1 SIN PIEZAS</x:v>
      </x:c>
      <x:c r="N1" s="26" t="str">
        <x:v>DATASET DE TIRO — NO USAR EN T8.1 SIN PIEZAS</x:v>
      </x:c>
      <x:c r="O1" s="26" t="str">
        <x:v>DATASET DE TIRO — NO USAR EN T8.1 SIN PIEZAS</x:v>
      </x:c>
      <x:c r="P1" s="26" t="str">
        <x:v>DATASET DE TIRO — NO USAR EN T8.1 SIN PIEZAS</x:v>
      </x:c>
      <x:c r="Q1" s="26" t="str">
        <x:v>DATASET DE TIRO — NO USAR EN T8.1 SIN PIEZAS</x:v>
      </x:c>
      <x:c r="R1" s="26" t="str">
        <x:v>DATASET DE TIRO — NO USAR EN T8.1 SIN PIEZAS</x:v>
      </x:c>
      <x:c r="S1" s="26" t="str">
        <x:v>DATASET DE TIRO — NO USAR EN T8.1 SIN PIEZAS</x:v>
      </x:c>
      <x:c r="T1" s="26" t="str">
        <x:v>DATASET DE TIRO — NO USAR EN T8.1 SIN PIEZAS</x:v>
      </x:c>
      <x:c r="U1" s="26" t="str">
        <x:v>DATASET DE TIRO — NO USAR EN T8.1 SIN PIEZAS</x:v>
      </x:c>
      <x:c r="V1" s="26" t="str">
        <x:v>DATASET DE TIRO — NO USAR EN T8.1 SIN PIEZAS</x:v>
      </x:c>
    </x:row>
    <x:row r="2" ht="34" customHeight="1">
      <x:c r="A2" s="29" t="str">
        <x:v>Se conserva el esquema futuro; no inventar outcomes ni alimentar piezas.</x:v>
      </x:c>
      <x:c r="B2" s="29" t="str">
        <x:v>Se conserva el esquema futuro; no inventar outcomes ni alimentar piezas.</x:v>
      </x:c>
      <x:c r="C2" s="29" t="str">
        <x:v>Se conserva el esquema futuro; no inventar outcomes ni alimentar piezas.</x:v>
      </x:c>
      <x:c r="D2" s="29" t="str">
        <x:v>Se conserva el esquema futuro; no inventar outcomes ni alimentar piezas.</x:v>
      </x:c>
      <x:c r="E2" s="29" t="str">
        <x:v>Se conserva el esquema futuro; no inventar outcomes ni alimentar piezas.</x:v>
      </x:c>
      <x:c r="F2" s="29" t="str">
        <x:v>Se conserva el esquema futuro; no inventar outcomes ni alimentar piezas.</x:v>
      </x:c>
      <x:c r="G2" s="29" t="str">
        <x:v>Se conserva el esquema futuro; no inventar outcomes ni alimentar piezas.</x:v>
      </x:c>
      <x:c r="H2" s="29" t="str">
        <x:v>Se conserva el esquema futuro; no inventar outcomes ni alimentar piezas.</x:v>
      </x:c>
      <x:c r="I2" s="29" t="str">
        <x:v>Se conserva el esquema futuro; no inventar outcomes ni alimentar piezas.</x:v>
      </x:c>
      <x:c r="J2" s="29" t="str">
        <x:v>Se conserva el esquema futuro; no inventar outcomes ni alimentar piezas.</x:v>
      </x:c>
      <x:c r="K2" s="29" t="str">
        <x:v>Se conserva el esquema futuro; no inventar outcomes ni alimentar piezas.</x:v>
      </x:c>
      <x:c r="L2" s="29" t="str">
        <x:v>Se conserva el esquema futuro; no inventar outcomes ni alimentar piezas.</x:v>
      </x:c>
      <x:c r="M2" s="29" t="str">
        <x:v>Se conserva el esquema futuro; no inventar outcomes ni alimentar piezas.</x:v>
      </x:c>
      <x:c r="N2" s="29" t="str">
        <x:v>Se conserva el esquema futuro; no inventar outcomes ni alimentar piezas.</x:v>
      </x:c>
      <x:c r="O2" s="29" t="str">
        <x:v>Se conserva el esquema futuro; no inventar outcomes ni alimentar piezas.</x:v>
      </x:c>
      <x:c r="P2" s="29" t="str">
        <x:v>Se conserva el esquema futuro; no inventar outcomes ni alimentar piezas.</x:v>
      </x:c>
      <x:c r="Q2" s="29" t="str">
        <x:v>Se conserva el esquema futuro; no inventar outcomes ni alimentar piezas.</x:v>
      </x:c>
      <x:c r="R2" s="29" t="str">
        <x:v>Se conserva el esquema futuro; no inventar outcomes ni alimentar piezas.</x:v>
      </x:c>
      <x:c r="S2" s="29" t="str">
        <x:v>Se conserva el esquema futuro; no inventar outcomes ni alimentar piezas.</x:v>
      </x:c>
      <x:c r="T2" s="29" t="str">
        <x:v>Se conserva el esquema futuro; no inventar outcomes ni alimentar piezas.</x:v>
      </x:c>
      <x:c r="U2" s="29" t="str">
        <x:v>Se conserva el esquema futuro; no inventar outcomes ni alimentar piezas.</x:v>
      </x:c>
      <x:c r="V2" s="29" t="str">
        <x:v>Se conserva el esquema futuro; no inventar outcomes ni alimentar piezas.</x:v>
      </x:c>
    </x:row>
    <x:row r="4" ht="34" customHeight="1">
      <x:c r="A4" s="19" t="str">
        <x:v>sessionId</x:v>
      </x:c>
      <x:c r="B4" s="38" t="str">
        <x:v>distanceGroupId</x:v>
      </x:c>
      <x:c r="C4" s="38" t="str">
        <x:v>modelKind</x:v>
      </x:c>
      <x:c r="D4" s="38" t="str">
        <x:v>role</x:v>
      </x:c>
      <x:c r="E4" s="38" t="str">
        <x:v>distanceInches</x:v>
      </x:c>
      <x:c r="F4" s="38" t="str">
        <x:v>targetRpm</x:v>
      </x:c>
      <x:c r="G4" s="38" t="str">
        <x:v>measuredRpmAtFeed</x:v>
      </x:c>
      <x:c r="H4" s="38" t="str">
        <x:v>rpmReadyHoldMs</x:v>
      </x:c>
      <x:c r="I4" s="38" t="str">
        <x:v>outcome</x:v>
      </x:c>
      <x:c r="J4" s="38" t="str">
        <x:v>AttemptId</x:v>
      </x:c>
      <x:c r="K4" s="38" t="str">
        <x:v>ConfigRevision</x:v>
      </x:c>
      <x:c r="L4" s="38" t="str">
        <x:v>Position</x:v>
      </x:c>
      <x:c r="M4" s="38" t="str">
        <x:v>BatteryId</x:v>
      </x:c>
      <x:c r="N4" s="38" t="str">
        <x:v>FusedXIn</x:v>
      </x:c>
      <x:c r="O4" s="38" t="str">
        <x:v>FusedYIn</x:v>
      </x:c>
      <x:c r="P4" s="38" t="str">
        <x:v>FusedHeadingDeg</x:v>
      </x:c>
      <x:c r="Q4" s="38" t="str">
        <x:v>TurretErrorDeg</x:v>
      </x:c>
      <x:c r="R4" s="38" t="str">
        <x:v>ArtifactBatch</x:v>
      </x:c>
      <x:c r="S4" s="38" t="str">
        <x:v>EvidenceRef</x:v>
      </x:c>
      <x:c r="T4" s="38" t="str">
        <x:v>Notes</x:v>
      </x:c>
      <x:c r="U4" s="38" t="str">
        <x:v>RpmError</x:v>
      </x:c>
      <x:c r="V4" s="20" t="str">
        <x:v>ReadyGate</x:v>
      </x:c>
    </x:row>
    <x:row r="5">
      <x:c r="A5" s="109"/>
      <x:c r="B5" s="52"/>
      <x:c r="C5" s="52"/>
      <x:c r="D5" s="52"/>
      <x:c r="E5" s="52"/>
      <x:c r="F5" s="52"/>
      <x:c r="G5" s="52"/>
      <x:c r="H5" s="52"/>
      <x:c r="I5" s="52"/>
      <x:c r="J5" s="52" t="str">
        <x:v>SHOT-001</x:v>
      </x:c>
      <x:c r="K5" s="52" t="str">
        <x:v>R1</x:v>
      </x:c>
      <x:c r="L5" s="52"/>
      <x:c r="M5" s="52"/>
      <x:c r="N5" s="52"/>
      <x:c r="O5" s="52"/>
      <x:c r="P5" s="52"/>
      <x:c r="Q5" s="52"/>
      <x:c r="R5" s="52"/>
      <x:c r="S5" s="52"/>
      <x:c r="T5" s="52"/>
      <x:c r="U5" s="50" t="str">
        <x:f>IF(OR(F5="",G5=""),"",ABS(G5-F5))</x:f>
      </x:c>
      <x:c r="V5" s="113" t="str">
        <x:f>IF(A5="","",IF(AND(U5&lt;='CONFIG'!$B$5,H5&gt;='CONFIG'!$B$6),"PASS","FAIL"))</x:f>
      </x:c>
    </x:row>
    <x:row r="6">
      <x:c r="A6" s="109"/>
      <x:c r="B6" s="52"/>
      <x:c r="C6" s="52"/>
      <x:c r="D6" s="52"/>
      <x:c r="E6" s="52"/>
      <x:c r="F6" s="52"/>
      <x:c r="G6" s="52"/>
      <x:c r="H6" s="52"/>
      <x:c r="I6" s="52"/>
      <x:c r="J6" s="52" t="str">
        <x:v>SHOT-002</x:v>
      </x:c>
      <x:c r="K6" s="52" t="str">
        <x:v>R1</x:v>
      </x:c>
      <x:c r="L6" s="52"/>
      <x:c r="M6" s="52"/>
      <x:c r="N6" s="52"/>
      <x:c r="O6" s="52"/>
      <x:c r="P6" s="52"/>
      <x:c r="Q6" s="52"/>
      <x:c r="R6" s="52"/>
      <x:c r="S6" s="52"/>
      <x:c r="T6" s="52"/>
      <x:c r="U6" s="50" t="str">
        <x:f>IF(OR(F6="",G6=""),"",ABS(G6-F6))</x:f>
      </x:c>
      <x:c r="V6" s="113" t="str">
        <x:f>IF(A6="","",IF(AND(U6&lt;='CONFIG'!$B$5,H6&gt;='CONFIG'!$B$6),"PASS","FAIL"))</x:f>
      </x:c>
    </x:row>
    <x:row r="7">
      <x:c r="A7" s="109"/>
      <x:c r="B7" s="52"/>
      <x:c r="C7" s="52"/>
      <x:c r="D7" s="52"/>
      <x:c r="E7" s="52"/>
      <x:c r="F7" s="52"/>
      <x:c r="G7" s="52"/>
      <x:c r="H7" s="52"/>
      <x:c r="I7" s="52"/>
      <x:c r="J7" s="52" t="str">
        <x:v>SHOT-003</x:v>
      </x:c>
      <x:c r="K7" s="52" t="str">
        <x:v>R1</x:v>
      </x:c>
      <x:c r="L7" s="52"/>
      <x:c r="M7" s="52"/>
      <x:c r="N7" s="52"/>
      <x:c r="O7" s="52"/>
      <x:c r="P7" s="52"/>
      <x:c r="Q7" s="52"/>
      <x:c r="R7" s="52"/>
      <x:c r="S7" s="52"/>
      <x:c r="T7" s="52"/>
      <x:c r="U7" s="50" t="str">
        <x:f>IF(OR(F7="",G7=""),"",ABS(G7-F7))</x:f>
      </x:c>
      <x:c r="V7" s="113" t="str">
        <x:f>IF(A7="","",IF(AND(U7&lt;='CONFIG'!$B$5,H7&gt;='CONFIG'!$B$6),"PASS","FAIL"))</x:f>
      </x:c>
    </x:row>
    <x:row r="8">
      <x:c r="A8" s="109"/>
      <x:c r="B8" s="52"/>
      <x:c r="C8" s="52"/>
      <x:c r="D8" s="52"/>
      <x:c r="E8" s="52"/>
      <x:c r="F8" s="52"/>
      <x:c r="G8" s="52"/>
      <x:c r="H8" s="52"/>
      <x:c r="I8" s="52"/>
      <x:c r="J8" s="52" t="str">
        <x:v>SHOT-004</x:v>
      </x:c>
      <x:c r="K8" s="52" t="str">
        <x:v>R1</x:v>
      </x:c>
      <x:c r="L8" s="52"/>
      <x:c r="M8" s="52"/>
      <x:c r="N8" s="52"/>
      <x:c r="O8" s="52"/>
      <x:c r="P8" s="52"/>
      <x:c r="Q8" s="52"/>
      <x:c r="R8" s="52"/>
      <x:c r="S8" s="52"/>
      <x:c r="T8" s="52"/>
      <x:c r="U8" s="50" t="str">
        <x:f>IF(OR(F8="",G8=""),"",ABS(G8-F8))</x:f>
      </x:c>
      <x:c r="V8" s="113" t="str">
        <x:f>IF(A8="","",IF(AND(U8&lt;='CONFIG'!$B$5,H8&gt;='CONFIG'!$B$6),"PASS","FAIL"))</x:f>
      </x:c>
    </x:row>
    <x:row r="9">
      <x:c r="A9" s="109"/>
      <x:c r="B9" s="52"/>
      <x:c r="C9" s="52"/>
      <x:c r="D9" s="52"/>
      <x:c r="E9" s="52"/>
      <x:c r="F9" s="52"/>
      <x:c r="G9" s="52"/>
      <x:c r="H9" s="52"/>
      <x:c r="I9" s="52"/>
      <x:c r="J9" s="52" t="str">
        <x:v>SHOT-005</x:v>
      </x:c>
      <x:c r="K9" s="52" t="str">
        <x:v>R1</x:v>
      </x:c>
      <x:c r="L9" s="52"/>
      <x:c r="M9" s="52"/>
      <x:c r="N9" s="52"/>
      <x:c r="O9" s="52"/>
      <x:c r="P9" s="52"/>
      <x:c r="Q9" s="52"/>
      <x:c r="R9" s="52"/>
      <x:c r="S9" s="52"/>
      <x:c r="T9" s="52"/>
      <x:c r="U9" s="50" t="str">
        <x:f>IF(OR(F9="",G9=""),"",ABS(G9-F9))</x:f>
      </x:c>
      <x:c r="V9" s="113" t="str">
        <x:f>IF(A9="","",IF(AND(U9&lt;='CONFIG'!$B$5,H9&gt;='CONFIG'!$B$6),"PASS","FAIL"))</x:f>
      </x:c>
    </x:row>
    <x:row r="10">
      <x:c r="A10" s="109"/>
      <x:c r="B10" s="52"/>
      <x:c r="C10" s="52"/>
      <x:c r="D10" s="52"/>
      <x:c r="E10" s="52"/>
      <x:c r="F10" s="52"/>
      <x:c r="G10" s="52"/>
      <x:c r="H10" s="52"/>
      <x:c r="I10" s="52"/>
      <x:c r="J10" s="52" t="str">
        <x:v>SHOT-006</x:v>
      </x:c>
      <x:c r="K10" s="52" t="str">
        <x:v>R1</x:v>
      </x:c>
      <x:c r="L10" s="52"/>
      <x:c r="M10" s="52"/>
      <x:c r="N10" s="52"/>
      <x:c r="O10" s="52"/>
      <x:c r="P10" s="52"/>
      <x:c r="Q10" s="52"/>
      <x:c r="R10" s="52"/>
      <x:c r="S10" s="52"/>
      <x:c r="T10" s="52"/>
      <x:c r="U10" s="50" t="str">
        <x:f>IF(OR(F10="",G10=""),"",ABS(G10-F10))</x:f>
      </x:c>
      <x:c r="V10" s="113" t="str">
        <x:f>IF(A10="","",IF(AND(U10&lt;='CONFIG'!$B$5,H10&gt;='CONFIG'!$B$6),"PASS","FAIL"))</x:f>
      </x:c>
    </x:row>
    <x:row r="11">
      <x:c r="A11" s="109"/>
      <x:c r="B11" s="52"/>
      <x:c r="C11" s="52"/>
      <x:c r="D11" s="52"/>
      <x:c r="E11" s="52"/>
      <x:c r="F11" s="52"/>
      <x:c r="G11" s="52"/>
      <x:c r="H11" s="52"/>
      <x:c r="I11" s="52"/>
      <x:c r="J11" s="52" t="str">
        <x:v>SHOT-007</x:v>
      </x:c>
      <x:c r="K11" s="52" t="str">
        <x:v>R1</x:v>
      </x:c>
      <x:c r="L11" s="52"/>
      <x:c r="M11" s="52"/>
      <x:c r="N11" s="52"/>
      <x:c r="O11" s="52"/>
      <x:c r="P11" s="52"/>
      <x:c r="Q11" s="52"/>
      <x:c r="R11" s="52"/>
      <x:c r="S11" s="52"/>
      <x:c r="T11" s="52"/>
      <x:c r="U11" s="50" t="str">
        <x:f>IF(OR(F11="",G11=""),"",ABS(G11-F11))</x:f>
      </x:c>
      <x:c r="V11" s="113" t="str">
        <x:f>IF(A11="","",IF(AND(U11&lt;='CONFIG'!$B$5,H11&gt;='CONFIG'!$B$6),"PASS","FAIL"))</x:f>
      </x:c>
    </x:row>
    <x:row r="12">
      <x:c r="A12" s="109"/>
      <x:c r="B12" s="52"/>
      <x:c r="C12" s="52"/>
      <x:c r="D12" s="52"/>
      <x:c r="E12" s="52"/>
      <x:c r="F12" s="52"/>
      <x:c r="G12" s="52"/>
      <x:c r="H12" s="52"/>
      <x:c r="I12" s="52"/>
      <x:c r="J12" s="52" t="str">
        <x:v>SHOT-008</x:v>
      </x:c>
      <x:c r="K12" s="52" t="str">
        <x:v>R1</x:v>
      </x:c>
      <x:c r="L12" s="52"/>
      <x:c r="M12" s="52"/>
      <x:c r="N12" s="52"/>
      <x:c r="O12" s="52"/>
      <x:c r="P12" s="52"/>
      <x:c r="Q12" s="52"/>
      <x:c r="R12" s="52"/>
      <x:c r="S12" s="52"/>
      <x:c r="T12" s="52"/>
      <x:c r="U12" s="50" t="str">
        <x:f>IF(OR(F12="",G12=""),"",ABS(G12-F12))</x:f>
      </x:c>
      <x:c r="V12" s="113" t="str">
        <x:f>IF(A12="","",IF(AND(U12&lt;='CONFIG'!$B$5,H12&gt;='CONFIG'!$B$6),"PASS","FAIL"))</x:f>
      </x:c>
    </x:row>
    <x:row r="13">
      <x:c r="A13" s="109"/>
      <x:c r="B13" s="52"/>
      <x:c r="C13" s="52"/>
      <x:c r="D13" s="52"/>
      <x:c r="E13" s="52"/>
      <x:c r="F13" s="52"/>
      <x:c r="G13" s="52"/>
      <x:c r="H13" s="52"/>
      <x:c r="I13" s="52"/>
      <x:c r="J13" s="52" t="str">
        <x:v>SHOT-009</x:v>
      </x:c>
      <x:c r="K13" s="52" t="str">
        <x:v>R1</x:v>
      </x:c>
      <x:c r="L13" s="52"/>
      <x:c r="M13" s="52"/>
      <x:c r="N13" s="52"/>
      <x:c r="O13" s="52"/>
      <x:c r="P13" s="52"/>
      <x:c r="Q13" s="52"/>
      <x:c r="R13" s="52"/>
      <x:c r="S13" s="52"/>
      <x:c r="T13" s="52"/>
      <x:c r="U13" s="50" t="str">
        <x:f>IF(OR(F13="",G13=""),"",ABS(G13-F13))</x:f>
      </x:c>
      <x:c r="V13" s="113" t="str">
        <x:f>IF(A13="","",IF(AND(U13&lt;='CONFIG'!$B$5,H13&gt;='CONFIG'!$B$6),"PASS","FAIL"))</x:f>
      </x:c>
    </x:row>
    <x:row r="14">
      <x:c r="A14" s="109"/>
      <x:c r="B14" s="52"/>
      <x:c r="C14" s="52"/>
      <x:c r="D14" s="52"/>
      <x:c r="E14" s="52"/>
      <x:c r="F14" s="52"/>
      <x:c r="G14" s="52"/>
      <x:c r="H14" s="52"/>
      <x:c r="I14" s="52"/>
      <x:c r="J14" s="52" t="str">
        <x:v>SHOT-010</x:v>
      </x:c>
      <x:c r="K14" s="52" t="str">
        <x:v>R1</x:v>
      </x:c>
      <x:c r="L14" s="52"/>
      <x:c r="M14" s="52"/>
      <x:c r="N14" s="52"/>
      <x:c r="O14" s="52"/>
      <x:c r="P14" s="52"/>
      <x:c r="Q14" s="52"/>
      <x:c r="R14" s="52"/>
      <x:c r="S14" s="52"/>
      <x:c r="T14" s="52"/>
      <x:c r="U14" s="50" t="str">
        <x:f>IF(OR(F14="",G14=""),"",ABS(G14-F14))</x:f>
      </x:c>
      <x:c r="V14" s="113" t="str">
        <x:f>IF(A14="","",IF(AND(U14&lt;='CONFIG'!$B$5,H14&gt;='CONFIG'!$B$6),"PASS","FAIL"))</x:f>
      </x:c>
    </x:row>
    <x:row r="15">
      <x:c r="A15" s="109"/>
      <x:c r="B15" s="52"/>
      <x:c r="C15" s="52"/>
      <x:c r="D15" s="52"/>
      <x:c r="E15" s="52"/>
      <x:c r="F15" s="52"/>
      <x:c r="G15" s="52"/>
      <x:c r="H15" s="52"/>
      <x:c r="I15" s="52"/>
      <x:c r="J15" s="52" t="str">
        <x:v>SHOT-011</x:v>
      </x:c>
      <x:c r="K15" s="52" t="str">
        <x:v>R1</x:v>
      </x:c>
      <x:c r="L15" s="52"/>
      <x:c r="M15" s="52"/>
      <x:c r="N15" s="52"/>
      <x:c r="O15" s="52"/>
      <x:c r="P15" s="52"/>
      <x:c r="Q15" s="52"/>
      <x:c r="R15" s="52"/>
      <x:c r="S15" s="52"/>
      <x:c r="T15" s="52"/>
      <x:c r="U15" s="50" t="str">
        <x:f>IF(OR(F15="",G15=""),"",ABS(G15-F15))</x:f>
      </x:c>
      <x:c r="V15" s="113" t="str">
        <x:f>IF(A15="","",IF(AND(U15&lt;='CONFIG'!$B$5,H15&gt;='CONFIG'!$B$6),"PASS","FAIL"))</x:f>
      </x:c>
    </x:row>
    <x:row r="16">
      <x:c r="A16" s="109"/>
      <x:c r="B16" s="52"/>
      <x:c r="C16" s="52"/>
      <x:c r="D16" s="52"/>
      <x:c r="E16" s="52"/>
      <x:c r="F16" s="52"/>
      <x:c r="G16" s="52"/>
      <x:c r="H16" s="52"/>
      <x:c r="I16" s="52"/>
      <x:c r="J16" s="52" t="str">
        <x:v>SHOT-012</x:v>
      </x:c>
      <x:c r="K16" s="52" t="str">
        <x:v>R1</x:v>
      </x:c>
      <x:c r="L16" s="52"/>
      <x:c r="M16" s="52"/>
      <x:c r="N16" s="52"/>
      <x:c r="O16" s="52"/>
      <x:c r="P16" s="52"/>
      <x:c r="Q16" s="52"/>
      <x:c r="R16" s="52"/>
      <x:c r="S16" s="52"/>
      <x:c r="T16" s="52"/>
      <x:c r="U16" s="50" t="str">
        <x:f>IF(OR(F16="",G16=""),"",ABS(G16-F16))</x:f>
      </x:c>
      <x:c r="V16" s="113" t="str">
        <x:f>IF(A16="","",IF(AND(U16&lt;='CONFIG'!$B$5,H16&gt;='CONFIG'!$B$6),"PASS","FAIL"))</x:f>
      </x:c>
    </x:row>
    <x:row r="17">
      <x:c r="A17" s="109"/>
      <x:c r="B17" s="52"/>
      <x:c r="C17" s="52"/>
      <x:c r="D17" s="52"/>
      <x:c r="E17" s="52"/>
      <x:c r="F17" s="52"/>
      <x:c r="G17" s="52"/>
      <x:c r="H17" s="52"/>
      <x:c r="I17" s="52"/>
      <x:c r="J17" s="52" t="str">
        <x:v>SHOT-013</x:v>
      </x:c>
      <x:c r="K17" s="52" t="str">
        <x:v>R1</x:v>
      </x:c>
      <x:c r="L17" s="52"/>
      <x:c r="M17" s="52"/>
      <x:c r="N17" s="52"/>
      <x:c r="O17" s="52"/>
      <x:c r="P17" s="52"/>
      <x:c r="Q17" s="52"/>
      <x:c r="R17" s="52"/>
      <x:c r="S17" s="52"/>
      <x:c r="T17" s="52"/>
      <x:c r="U17" s="50" t="str">
        <x:f>IF(OR(F17="",G17=""),"",ABS(G17-F17))</x:f>
      </x:c>
      <x:c r="V17" s="113" t="str">
        <x:f>IF(A17="","",IF(AND(U17&lt;='CONFIG'!$B$5,H17&gt;='CONFIG'!$B$6),"PASS","FAIL"))</x:f>
      </x:c>
    </x:row>
    <x:row r="18">
      <x:c r="A18" s="109"/>
      <x:c r="B18" s="52"/>
      <x:c r="C18" s="52"/>
      <x:c r="D18" s="52"/>
      <x:c r="E18" s="52"/>
      <x:c r="F18" s="52"/>
      <x:c r="G18" s="52"/>
      <x:c r="H18" s="52"/>
      <x:c r="I18" s="52"/>
      <x:c r="J18" s="52" t="str">
        <x:v>SHOT-014</x:v>
      </x:c>
      <x:c r="K18" s="52" t="str">
        <x:v>R1</x:v>
      </x:c>
      <x:c r="L18" s="52"/>
      <x:c r="M18" s="52"/>
      <x:c r="N18" s="52"/>
      <x:c r="O18" s="52"/>
      <x:c r="P18" s="52"/>
      <x:c r="Q18" s="52"/>
      <x:c r="R18" s="52"/>
      <x:c r="S18" s="52"/>
      <x:c r="T18" s="52"/>
      <x:c r="U18" s="50" t="str">
        <x:f>IF(OR(F18="",G18=""),"",ABS(G18-F18))</x:f>
      </x:c>
      <x:c r="V18" s="113" t="str">
        <x:f>IF(A18="","",IF(AND(U18&lt;='CONFIG'!$B$5,H18&gt;='CONFIG'!$B$6),"PASS","FAIL"))</x:f>
      </x:c>
    </x:row>
    <x:row r="19">
      <x:c r="A19" s="109"/>
      <x:c r="B19" s="52"/>
      <x:c r="C19" s="52"/>
      <x:c r="D19" s="52"/>
      <x:c r="E19" s="52"/>
      <x:c r="F19" s="52"/>
      <x:c r="G19" s="52"/>
      <x:c r="H19" s="52"/>
      <x:c r="I19" s="52"/>
      <x:c r="J19" s="52" t="str">
        <x:v>SHOT-015</x:v>
      </x:c>
      <x:c r="K19" s="52" t="str">
        <x:v>R1</x:v>
      </x:c>
      <x:c r="L19" s="52"/>
      <x:c r="M19" s="52"/>
      <x:c r="N19" s="52"/>
      <x:c r="O19" s="52"/>
      <x:c r="P19" s="52"/>
      <x:c r="Q19" s="52"/>
      <x:c r="R19" s="52"/>
      <x:c r="S19" s="52"/>
      <x:c r="T19" s="52"/>
      <x:c r="U19" s="50" t="str">
        <x:f>IF(OR(F19="",G19=""),"",ABS(G19-F19))</x:f>
      </x:c>
      <x:c r="V19" s="113" t="str">
        <x:f>IF(A19="","",IF(AND(U19&lt;='CONFIG'!$B$5,H19&gt;='CONFIG'!$B$6),"PASS","FAIL"))</x:f>
      </x:c>
    </x:row>
    <x:row r="20">
      <x:c r="A20" s="109"/>
      <x:c r="B20" s="52"/>
      <x:c r="C20" s="52"/>
      <x:c r="D20" s="52"/>
      <x:c r="E20" s="52"/>
      <x:c r="F20" s="52"/>
      <x:c r="G20" s="52"/>
      <x:c r="H20" s="52"/>
      <x:c r="I20" s="52"/>
      <x:c r="J20" s="52" t="str">
        <x:v>SHOT-016</x:v>
      </x:c>
      <x:c r="K20" s="52" t="str">
        <x:v>R1</x:v>
      </x:c>
      <x:c r="L20" s="52"/>
      <x:c r="M20" s="52"/>
      <x:c r="N20" s="52"/>
      <x:c r="O20" s="52"/>
      <x:c r="P20" s="52"/>
      <x:c r="Q20" s="52"/>
      <x:c r="R20" s="52"/>
      <x:c r="S20" s="52"/>
      <x:c r="T20" s="52"/>
      <x:c r="U20" s="50" t="str">
        <x:f>IF(OR(F20="",G20=""),"",ABS(G20-F20))</x:f>
      </x:c>
      <x:c r="V20" s="113" t="str">
        <x:f>IF(A20="","",IF(AND(U20&lt;='CONFIG'!$B$5,H20&gt;='CONFIG'!$B$6),"PASS","FAIL"))</x:f>
      </x:c>
    </x:row>
    <x:row r="21">
      <x:c r="A21" s="109"/>
      <x:c r="B21" s="52"/>
      <x:c r="C21" s="52"/>
      <x:c r="D21" s="52"/>
      <x:c r="E21" s="52"/>
      <x:c r="F21" s="52"/>
      <x:c r="G21" s="52"/>
      <x:c r="H21" s="52"/>
      <x:c r="I21" s="52"/>
      <x:c r="J21" s="52" t="str">
        <x:v>SHOT-017</x:v>
      </x:c>
      <x:c r="K21" s="52" t="str">
        <x:v>R1</x:v>
      </x:c>
      <x:c r="L21" s="52"/>
      <x:c r="M21" s="52"/>
      <x:c r="N21" s="52"/>
      <x:c r="O21" s="52"/>
      <x:c r="P21" s="52"/>
      <x:c r="Q21" s="52"/>
      <x:c r="R21" s="52"/>
      <x:c r="S21" s="52"/>
      <x:c r="T21" s="52"/>
      <x:c r="U21" s="50" t="str">
        <x:f>IF(OR(F21="",G21=""),"",ABS(G21-F21))</x:f>
      </x:c>
      <x:c r="V21" s="113" t="str">
        <x:f>IF(A21="","",IF(AND(U21&lt;='CONFIG'!$B$5,H21&gt;='CONFIG'!$B$6),"PASS","FAIL"))</x:f>
      </x:c>
    </x:row>
    <x:row r="22">
      <x:c r="A22" s="109"/>
      <x:c r="B22" s="52"/>
      <x:c r="C22" s="52"/>
      <x:c r="D22" s="52"/>
      <x:c r="E22" s="52"/>
      <x:c r="F22" s="52"/>
      <x:c r="G22" s="52"/>
      <x:c r="H22" s="52"/>
      <x:c r="I22" s="52"/>
      <x:c r="J22" s="52" t="str">
        <x:v>SHOT-018</x:v>
      </x:c>
      <x:c r="K22" s="52" t="str">
        <x:v>R1</x:v>
      </x:c>
      <x:c r="L22" s="52"/>
      <x:c r="M22" s="52"/>
      <x:c r="N22" s="52"/>
      <x:c r="O22" s="52"/>
      <x:c r="P22" s="52"/>
      <x:c r="Q22" s="52"/>
      <x:c r="R22" s="52"/>
      <x:c r="S22" s="52"/>
      <x:c r="T22" s="52"/>
      <x:c r="U22" s="50" t="str">
        <x:f>IF(OR(F22="",G22=""),"",ABS(G22-F22))</x:f>
      </x:c>
      <x:c r="V22" s="113" t="str">
        <x:f>IF(A22="","",IF(AND(U22&lt;='CONFIG'!$B$5,H22&gt;='CONFIG'!$B$6),"PASS","FAIL"))</x:f>
      </x:c>
    </x:row>
    <x:row r="23">
      <x:c r="A23" s="109"/>
      <x:c r="B23" s="52"/>
      <x:c r="C23" s="52"/>
      <x:c r="D23" s="52"/>
      <x:c r="E23" s="52"/>
      <x:c r="F23" s="52"/>
      <x:c r="G23" s="52"/>
      <x:c r="H23" s="52"/>
      <x:c r="I23" s="52"/>
      <x:c r="J23" s="52" t="str">
        <x:v>SHOT-019</x:v>
      </x:c>
      <x:c r="K23" s="52" t="str">
        <x:v>R1</x:v>
      </x:c>
      <x:c r="L23" s="52"/>
      <x:c r="M23" s="52"/>
      <x:c r="N23" s="52"/>
      <x:c r="O23" s="52"/>
      <x:c r="P23" s="52"/>
      <x:c r="Q23" s="52"/>
      <x:c r="R23" s="52"/>
      <x:c r="S23" s="52"/>
      <x:c r="T23" s="52"/>
      <x:c r="U23" s="50" t="str">
        <x:f>IF(OR(F23="",G23=""),"",ABS(G23-F23))</x:f>
      </x:c>
      <x:c r="V23" s="113" t="str">
        <x:f>IF(A23="","",IF(AND(U23&lt;='CONFIG'!$B$5,H23&gt;='CONFIG'!$B$6),"PASS","FAIL"))</x:f>
      </x:c>
    </x:row>
    <x:row r="24">
      <x:c r="A24" s="109"/>
      <x:c r="B24" s="52"/>
      <x:c r="C24" s="52"/>
      <x:c r="D24" s="52"/>
      <x:c r="E24" s="52"/>
      <x:c r="F24" s="52"/>
      <x:c r="G24" s="52"/>
      <x:c r="H24" s="52"/>
      <x:c r="I24" s="52"/>
      <x:c r="J24" s="52" t="str">
        <x:v>SHOT-020</x:v>
      </x:c>
      <x:c r="K24" s="52" t="str">
        <x:v>R1</x:v>
      </x:c>
      <x:c r="L24" s="52"/>
      <x:c r="M24" s="52"/>
      <x:c r="N24" s="52"/>
      <x:c r="O24" s="52"/>
      <x:c r="P24" s="52"/>
      <x:c r="Q24" s="52"/>
      <x:c r="R24" s="52"/>
      <x:c r="S24" s="52"/>
      <x:c r="T24" s="52"/>
      <x:c r="U24" s="50" t="str">
        <x:f>IF(OR(F24="",G24=""),"",ABS(G24-F24))</x:f>
      </x:c>
      <x:c r="V24" s="113" t="str">
        <x:f>IF(A24="","",IF(AND(U24&lt;='CONFIG'!$B$5,H24&gt;='CONFIG'!$B$6),"PASS","FAIL"))</x:f>
      </x:c>
    </x:row>
    <x:row r="25">
      <x:c r="A25" s="109"/>
      <x:c r="B25" s="52"/>
      <x:c r="C25" s="52"/>
      <x:c r="D25" s="52"/>
      <x:c r="E25" s="52"/>
      <x:c r="F25" s="52"/>
      <x:c r="G25" s="52"/>
      <x:c r="H25" s="52"/>
      <x:c r="I25" s="52"/>
      <x:c r="J25" s="52" t="str">
        <x:v>SHOT-021</x:v>
      </x:c>
      <x:c r="K25" s="52" t="str">
        <x:v>R1</x:v>
      </x:c>
      <x:c r="L25" s="52"/>
      <x:c r="M25" s="52"/>
      <x:c r="N25" s="52"/>
      <x:c r="O25" s="52"/>
      <x:c r="P25" s="52"/>
      <x:c r="Q25" s="52"/>
      <x:c r="R25" s="52"/>
      <x:c r="S25" s="52"/>
      <x:c r="T25" s="52"/>
      <x:c r="U25" s="50" t="str">
        <x:f>IF(OR(F25="",G25=""),"",ABS(G25-F25))</x:f>
      </x:c>
      <x:c r="V25" s="113" t="str">
        <x:f>IF(A25="","",IF(AND(U25&lt;='CONFIG'!$B$5,H25&gt;='CONFIG'!$B$6),"PASS","FAIL"))</x:f>
      </x:c>
    </x:row>
    <x:row r="26">
      <x:c r="A26" s="109"/>
      <x:c r="B26" s="52"/>
      <x:c r="C26" s="52"/>
      <x:c r="D26" s="52"/>
      <x:c r="E26" s="52"/>
      <x:c r="F26" s="52"/>
      <x:c r="G26" s="52"/>
      <x:c r="H26" s="52"/>
      <x:c r="I26" s="52"/>
      <x:c r="J26" s="52" t="str">
        <x:v>SHOT-022</x:v>
      </x:c>
      <x:c r="K26" s="52" t="str">
        <x:v>R1</x:v>
      </x:c>
      <x:c r="L26" s="52"/>
      <x:c r="M26" s="52"/>
      <x:c r="N26" s="52"/>
      <x:c r="O26" s="52"/>
      <x:c r="P26" s="52"/>
      <x:c r="Q26" s="52"/>
      <x:c r="R26" s="52"/>
      <x:c r="S26" s="52"/>
      <x:c r="T26" s="52"/>
      <x:c r="U26" s="50" t="str">
        <x:f>IF(OR(F26="",G26=""),"",ABS(G26-F26))</x:f>
      </x:c>
      <x:c r="V26" s="113" t="str">
        <x:f>IF(A26="","",IF(AND(U26&lt;='CONFIG'!$B$5,H26&gt;='CONFIG'!$B$6),"PASS","FAIL"))</x:f>
      </x:c>
    </x:row>
    <x:row r="27">
      <x:c r="A27" s="109"/>
      <x:c r="B27" s="52"/>
      <x:c r="C27" s="52"/>
      <x:c r="D27" s="52"/>
      <x:c r="E27" s="52"/>
      <x:c r="F27" s="52"/>
      <x:c r="G27" s="52"/>
      <x:c r="H27" s="52"/>
      <x:c r="I27" s="52"/>
      <x:c r="J27" s="52" t="str">
        <x:v>SHOT-023</x:v>
      </x:c>
      <x:c r="K27" s="52" t="str">
        <x:v>R1</x:v>
      </x:c>
      <x:c r="L27" s="52"/>
      <x:c r="M27" s="52"/>
      <x:c r="N27" s="52"/>
      <x:c r="O27" s="52"/>
      <x:c r="P27" s="52"/>
      <x:c r="Q27" s="52"/>
      <x:c r="R27" s="52"/>
      <x:c r="S27" s="52"/>
      <x:c r="T27" s="52"/>
      <x:c r="U27" s="50" t="str">
        <x:f>IF(OR(F27="",G27=""),"",ABS(G27-F27))</x:f>
      </x:c>
      <x:c r="V27" s="113" t="str">
        <x:f>IF(A27="","",IF(AND(U27&lt;='CONFIG'!$B$5,H27&gt;='CONFIG'!$B$6),"PASS","FAIL"))</x:f>
      </x:c>
    </x:row>
    <x:row r="28">
      <x:c r="A28" s="109"/>
      <x:c r="B28" s="52"/>
      <x:c r="C28" s="52"/>
      <x:c r="D28" s="52"/>
      <x:c r="E28" s="52"/>
      <x:c r="F28" s="52"/>
      <x:c r="G28" s="52"/>
      <x:c r="H28" s="52"/>
      <x:c r="I28" s="52"/>
      <x:c r="J28" s="52" t="str">
        <x:v>SHOT-024</x:v>
      </x:c>
      <x:c r="K28" s="52" t="str">
        <x:v>R1</x:v>
      </x:c>
      <x:c r="L28" s="52"/>
      <x:c r="M28" s="52"/>
      <x:c r="N28" s="52"/>
      <x:c r="O28" s="52"/>
      <x:c r="P28" s="52"/>
      <x:c r="Q28" s="52"/>
      <x:c r="R28" s="52"/>
      <x:c r="S28" s="52"/>
      <x:c r="T28" s="52"/>
      <x:c r="U28" s="50" t="str">
        <x:f>IF(OR(F28="",G28=""),"",ABS(G28-F28))</x:f>
      </x:c>
      <x:c r="V28" s="113" t="str">
        <x:f>IF(A28="","",IF(AND(U28&lt;='CONFIG'!$B$5,H28&gt;='CONFIG'!$B$6),"PASS","FAIL"))</x:f>
      </x:c>
    </x:row>
    <x:row r="29">
      <x:c r="A29" s="109"/>
      <x:c r="B29" s="52"/>
      <x:c r="C29" s="52"/>
      <x:c r="D29" s="52"/>
      <x:c r="E29" s="52"/>
      <x:c r="F29" s="52"/>
      <x:c r="G29" s="52"/>
      <x:c r="H29" s="52"/>
      <x:c r="I29" s="52"/>
      <x:c r="J29" s="52" t="str">
        <x:v>SHOT-025</x:v>
      </x:c>
      <x:c r="K29" s="52" t="str">
        <x:v>R1</x:v>
      </x:c>
      <x:c r="L29" s="52"/>
      <x:c r="M29" s="52"/>
      <x:c r="N29" s="52"/>
      <x:c r="O29" s="52"/>
      <x:c r="P29" s="52"/>
      <x:c r="Q29" s="52"/>
      <x:c r="R29" s="52"/>
      <x:c r="S29" s="52"/>
      <x:c r="T29" s="52"/>
      <x:c r="U29" s="50" t="str">
        <x:f>IF(OR(F29="",G29=""),"",ABS(G29-F29))</x:f>
      </x:c>
      <x:c r="V29" s="113" t="str">
        <x:f>IF(A29="","",IF(AND(U29&lt;='CONFIG'!$B$5,H29&gt;='CONFIG'!$B$6),"PASS","FAIL"))</x:f>
      </x:c>
    </x:row>
    <x:row r="30">
      <x:c r="A30" s="109"/>
      <x:c r="B30" s="52"/>
      <x:c r="C30" s="52"/>
      <x:c r="D30" s="52"/>
      <x:c r="E30" s="52"/>
      <x:c r="F30" s="52"/>
      <x:c r="G30" s="52"/>
      <x:c r="H30" s="52"/>
      <x:c r="I30" s="52"/>
      <x:c r="J30" s="52" t="str">
        <x:v>SHOT-026</x:v>
      </x:c>
      <x:c r="K30" s="52" t="str">
        <x:v>R1</x:v>
      </x:c>
      <x:c r="L30" s="52"/>
      <x:c r="M30" s="52"/>
      <x:c r="N30" s="52"/>
      <x:c r="O30" s="52"/>
      <x:c r="P30" s="52"/>
      <x:c r="Q30" s="52"/>
      <x:c r="R30" s="52"/>
      <x:c r="S30" s="52"/>
      <x:c r="T30" s="52"/>
      <x:c r="U30" s="50" t="str">
        <x:f>IF(OR(F30="",G30=""),"",ABS(G30-F30))</x:f>
      </x:c>
      <x:c r="V30" s="113" t="str">
        <x:f>IF(A30="","",IF(AND(U30&lt;='CONFIG'!$B$5,H30&gt;='CONFIG'!$B$6),"PASS","FAIL"))</x:f>
      </x:c>
    </x:row>
    <x:row r="31">
      <x:c r="A31" s="109"/>
      <x:c r="B31" s="52"/>
      <x:c r="C31" s="52"/>
      <x:c r="D31" s="52"/>
      <x:c r="E31" s="52"/>
      <x:c r="F31" s="52"/>
      <x:c r="G31" s="52"/>
      <x:c r="H31" s="52"/>
      <x:c r="I31" s="52"/>
      <x:c r="J31" s="52" t="str">
        <x:v>SHOT-027</x:v>
      </x:c>
      <x:c r="K31" s="52" t="str">
        <x:v>R1</x:v>
      </x:c>
      <x:c r="L31" s="52"/>
      <x:c r="M31" s="52"/>
      <x:c r="N31" s="52"/>
      <x:c r="O31" s="52"/>
      <x:c r="P31" s="52"/>
      <x:c r="Q31" s="52"/>
      <x:c r="R31" s="52"/>
      <x:c r="S31" s="52"/>
      <x:c r="T31" s="52"/>
      <x:c r="U31" s="50" t="str">
        <x:f>IF(OR(F31="",G31=""),"",ABS(G31-F31))</x:f>
      </x:c>
      <x:c r="V31" s="113" t="str">
        <x:f>IF(A31="","",IF(AND(U31&lt;='CONFIG'!$B$5,H31&gt;='CONFIG'!$B$6),"PASS","FAIL"))</x:f>
      </x:c>
    </x:row>
    <x:row r="32">
      <x:c r="A32" s="109"/>
      <x:c r="B32" s="52"/>
      <x:c r="C32" s="52"/>
      <x:c r="D32" s="52"/>
      <x:c r="E32" s="52"/>
      <x:c r="F32" s="52"/>
      <x:c r="G32" s="52"/>
      <x:c r="H32" s="52"/>
      <x:c r="I32" s="52"/>
      <x:c r="J32" s="52" t="str">
        <x:v>SHOT-028</x:v>
      </x:c>
      <x:c r="K32" s="52" t="str">
        <x:v>R1</x:v>
      </x:c>
      <x:c r="L32" s="52"/>
      <x:c r="M32" s="52"/>
      <x:c r="N32" s="52"/>
      <x:c r="O32" s="52"/>
      <x:c r="P32" s="52"/>
      <x:c r="Q32" s="52"/>
      <x:c r="R32" s="52"/>
      <x:c r="S32" s="52"/>
      <x:c r="T32" s="52"/>
      <x:c r="U32" s="50" t="str">
        <x:f>IF(OR(F32="",G32=""),"",ABS(G32-F32))</x:f>
      </x:c>
      <x:c r="V32" s="113" t="str">
        <x:f>IF(A32="","",IF(AND(U32&lt;='CONFIG'!$B$5,H32&gt;='CONFIG'!$B$6),"PASS","FAIL"))</x:f>
      </x:c>
    </x:row>
    <x:row r="33">
      <x:c r="A33" s="109"/>
      <x:c r="B33" s="52"/>
      <x:c r="C33" s="52"/>
      <x:c r="D33" s="52"/>
      <x:c r="E33" s="52"/>
      <x:c r="F33" s="52"/>
      <x:c r="G33" s="52"/>
      <x:c r="H33" s="52"/>
      <x:c r="I33" s="52"/>
      <x:c r="J33" s="52" t="str">
        <x:v>SHOT-029</x:v>
      </x:c>
      <x:c r="K33" s="52" t="str">
        <x:v>R1</x:v>
      </x:c>
      <x:c r="L33" s="52"/>
      <x:c r="M33" s="52"/>
      <x:c r="N33" s="52"/>
      <x:c r="O33" s="52"/>
      <x:c r="P33" s="52"/>
      <x:c r="Q33" s="52"/>
      <x:c r="R33" s="52"/>
      <x:c r="S33" s="52"/>
      <x:c r="T33" s="52"/>
      <x:c r="U33" s="50" t="str">
        <x:f>IF(OR(F33="",G33=""),"",ABS(G33-F33))</x:f>
      </x:c>
      <x:c r="V33" s="113" t="str">
        <x:f>IF(A33="","",IF(AND(U33&lt;='CONFIG'!$B$5,H33&gt;='CONFIG'!$B$6),"PASS","FAIL"))</x:f>
      </x:c>
    </x:row>
    <x:row r="34">
      <x:c r="A34" s="114"/>
      <x:c r="B34" s="55"/>
      <x:c r="C34" s="55"/>
      <x:c r="D34" s="55"/>
      <x:c r="E34" s="55"/>
      <x:c r="F34" s="55"/>
      <x:c r="G34" s="55"/>
      <x:c r="H34" s="55"/>
      <x:c r="I34" s="55"/>
      <x:c r="J34" s="55" t="str">
        <x:v>SHOT-030</x:v>
      </x:c>
      <x:c r="K34" s="55" t="str">
        <x:v>R1</x:v>
      </x:c>
      <x:c r="L34" s="55"/>
      <x:c r="M34" s="55"/>
      <x:c r="N34" s="55"/>
      <x:c r="O34" s="55"/>
      <x:c r="P34" s="55"/>
      <x:c r="Q34" s="55"/>
      <x:c r="R34" s="55"/>
      <x:c r="S34" s="55"/>
      <x:c r="T34" s="55"/>
      <x:c r="U34" s="115" t="str">
        <x:f>IF(OR(F34="",G34=""),"",ABS(G34-F34))</x:f>
      </x:c>
      <x:c r="V34" s="120" t="str">
        <x:f>IF(A34="","",IF(AND(U34&lt;='CONFIG'!$B$5,H34&gt;='CONFIG'!$B$6),"PASS","FAIL"))</x:f>
      </x:c>
    </x:row>
  </x:sheetData>
  <x:mergeCells>
    <x:mergeCell ref="A1:V1"/>
    <x:mergeCell ref="A2:V2"/>
  </x:mergeCells>
  <x:conditionalFormatting sqref="V5:V34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ABORTED"/>
  </x:conditionalFormatting>
  <x:pageMargins left="0.7" right="0.7" top="0.75" bottom="0.75" header="0.3" footer="0.3"/>
  <x:tableParts count="1">
    <x:tablePart xmlns:r="http://schemas.openxmlformats.org/officeDocument/2006/relationships" r:id="R6c2b84eb595146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0" customHeight="1">
      <x:c r="A1" s="26" t="str">
        <x:v>EXPORT SHOT_DATASET — CSV</x:v>
      </x:c>
      <x:c r="B1" s="26" t="str">
        <x:v>EXPORT SHOT_DATASET — CSV</x:v>
      </x:c>
      <x:c r="C1" s="26" t="str">
        <x:v>EXPORT SHOT_DATASET — CSV</x:v>
      </x:c>
      <x:c r="D1" s="26" t="str">
        <x:v>EXPORT SHOT_DATASET — CSV</x:v>
      </x:c>
      <x:c r="E1" s="26" t="str">
        <x:v>EXPORT SHOT_DATASET — CSV</x:v>
      </x:c>
      <x:c r="F1" s="26" t="str">
        <x:v>EXPORT SHOT_DATASET — CSV</x:v>
      </x:c>
      <x:c r="G1" s="26" t="str">
        <x:v>EXPORT SHOT_DATASET — CSV</x:v>
      </x:c>
      <x:c r="H1" s="26" t="str">
        <x:v>EXPORT SHOT_DATASET — CSV</x:v>
      </x:c>
      <x:c r="I1" s="26" t="str">
        <x:v>EXPORT SHOT_DATASET — CSV</x:v>
      </x:c>
    </x:row>
    <x:row r="2" ht="34" customHeight="1">
      <x:c r="A2" s="29" t="str">
        <x:v>Exactamente nueve columnas compatibles con ShotDatasetCsv. Permanece vacío en T8.1 sin piezas.</x:v>
      </x:c>
      <x:c r="B2" s="29" t="str">
        <x:v>Exactamente nueve columnas compatibles con ShotDatasetCsv. Permanece vacío en T8.1 sin piezas.</x:v>
      </x:c>
      <x:c r="C2" s="29" t="str">
        <x:v>Exactamente nueve columnas compatibles con ShotDatasetCsv. Permanece vacío en T8.1 sin piezas.</x:v>
      </x:c>
      <x:c r="D2" s="29" t="str">
        <x:v>Exactamente nueve columnas compatibles con ShotDatasetCsv. Permanece vacío en T8.1 sin piezas.</x:v>
      </x:c>
      <x:c r="E2" s="29" t="str">
        <x:v>Exactamente nueve columnas compatibles con ShotDatasetCsv. Permanece vacío en T8.1 sin piezas.</x:v>
      </x:c>
      <x:c r="F2" s="29" t="str">
        <x:v>Exactamente nueve columnas compatibles con ShotDatasetCsv. Permanece vacío en T8.1 sin piezas.</x:v>
      </x:c>
      <x:c r="G2" s="29" t="str">
        <x:v>Exactamente nueve columnas compatibles con ShotDatasetCsv. Permanece vacío en T8.1 sin piezas.</x:v>
      </x:c>
      <x:c r="H2" s="29" t="str">
        <x:v>Exactamente nueve columnas compatibles con ShotDatasetCsv. Permanece vacío en T8.1 sin piezas.</x:v>
      </x:c>
      <x:c r="I2" s="29" t="str">
        <x:v>Exactamente nueve columnas compatibles con ShotDatasetCsv. Permanece vacío en T8.1 sin piezas.</x:v>
      </x:c>
    </x:row>
    <x:row r="4" ht="34" customHeight="1">
      <x:c r="A4" s="13" t="str">
        <x:v>#sessionId</x:v>
      </x:c>
      <x:c r="B4" s="32" t="str">
        <x:v>distanceGroupId</x:v>
      </x:c>
      <x:c r="C4" s="32" t="str">
        <x:v>modelKind</x:v>
      </x:c>
      <x:c r="D4" s="32" t="str">
        <x:v>role</x:v>
      </x:c>
      <x:c r="E4" s="32" t="str">
        <x:v>distanceInches</x:v>
      </x:c>
      <x:c r="F4" s="32" t="str">
        <x:v>targetRpm</x:v>
      </x:c>
      <x:c r="G4" s="32" t="str">
        <x:v>measuredRpmAtFeed</x:v>
      </x:c>
      <x:c r="H4" s="32" t="str">
        <x:v>rpmReadyHoldMs</x:v>
      </x:c>
      <x:c r="I4" s="14" t="str">
        <x:v>outcome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66" hidden="0" customWidth="1"/>
    <x:col min="4" max="4" width="5" hidden="0" customWidth="1"/>
    <x:col min="5" max="5" width="26" hidden="0" customWidth="1"/>
    <x:col min="6" max="6" width="16" hidden="0" customWidth="1"/>
    <x:col min="7" max="7" width="34" hidden="0" customWidth="1"/>
  </x:cols>
  <x:sheetData>
    <x:row r="1" ht="30" customHeight="1">
      <x:c r="A1" s="26" t="str">
        <x:v>DASHBOARD — SHOOTER T8.1</x:v>
      </x:c>
      <x:c r="B1" s="26" t="str">
        <x:v>DASHBOARD — SHOOTER T8.1</x:v>
      </x:c>
      <x:c r="C1" s="26" t="str">
        <x:v>DASHBOARD — SHOOTER T8.1</x:v>
      </x:c>
      <x:c r="D1" s="26" t="str">
        <x:v>DASHBOARD — SHOOTER T8.1</x:v>
      </x:c>
      <x:c r="E1" s="26" t="str">
        <x:v>DASHBOARD — SHOOTER T8.1</x:v>
      </x:c>
      <x:c r="F1" s="26" t="str">
        <x:v>DASHBOARD — SHOOTER T8.1</x:v>
      </x:c>
      <x:c r="G1" s="26" t="str">
        <x:v>DASHBOARD — SHOOTER T8.1</x:v>
      </x:c>
    </x:row>
    <x:row r="2" ht="34" customHeight="1">
      <x:c r="A2" s="29" t="str">
        <x:v>Resumen automático. Un libro vacío nunca declara PASS.</x:v>
      </x:c>
      <x:c r="B2" s="29" t="str">
        <x:v>Resumen automático. Un libro vacío nunca declara PASS.</x:v>
      </x:c>
      <x:c r="C2" s="29" t="str">
        <x:v>Resumen automático. Un libro vacío nunca declara PASS.</x:v>
      </x:c>
      <x:c r="D2" s="29" t="str">
        <x:v>Resumen automático. Un libro vacío nunca declara PASS.</x:v>
      </x:c>
      <x:c r="E2" s="29" t="str">
        <x:v>Resumen automático. Un libro vacío nunca declara PASS.</x:v>
      </x:c>
      <x:c r="F2" s="29" t="str">
        <x:v>Resumen automático. Un libro vacío nunca declara PASS.</x:v>
      </x:c>
      <x:c r="G2" s="29" t="str">
        <x:v>Resumen automático. Un libro vacío nunca declara PASS.</x:v>
      </x:c>
    </x:row>
    <x:row r="4" ht="34" customHeight="1">
      <x:c r="A4" s="19" t="str">
        <x:v>Gate</x:v>
      </x:c>
      <x:c r="B4" s="38" t="str">
        <x:v>Status</x:v>
      </x:c>
      <x:c r="C4" s="38" t="str">
        <x:v>Criterio</x:v>
      </x:c>
      <x:c r="D4" s="38"/>
      <x:c r="E4" s="38" t="str">
        <x:v>Evidence</x:v>
      </x:c>
      <x:c r="F4" s="38" t="str">
        <x:v>Value</x:v>
      </x:c>
      <x:c r="G4" s="20" t="str">
        <x:v>Meaning</x:v>
      </x:c>
    </x:row>
    <x:row r="5">
      <x:c r="A5" s="49" t="str">
        <x:v>Encabezado sesión</x:v>
      </x:c>
      <x:c r="B5" s="50" t="str">
        <x:f>IF(COUNTBLANK('SESION'!B9:B28)&gt;0,"BLOCKED","PASS")</x:f>
        <x:v>BLOCKED</x:v>
      </x:c>
      <x:c r="C5" s="51" t="str">
        <x:v>Campos obligatorios antes de evidencia</x:v>
      </x:c>
      <x:c r="D5" s="51"/>
      <x:c r="E5" s="51" t="str">
        <x:v>Raw samples</x:v>
      </x:c>
      <x:c r="F5" s="50" t="n">
        <x:f>COUNTIF('RAW_TELEMETRY'!B5:B104,"&lt;&gt;")</x:f>
        <x:v>1</x:v>
      </x:c>
      <x:c r="G5" s="22" t="str">
        <x:v>Filas con AttemptId</x:v>
      </x:c>
    </x:row>
    <x:row r="6">
      <x:c r="A6" s="49" t="str">
        <x:v>1000 RPM</x:v>
      </x:c>
      <x:c r="B6" s="50" t="str">
        <x:f>'T8_1_ATTEMPTS'!E5</x:f>
        <x:v>FAIL</x:v>
      </x:c>
      <x:c r="C6" s="51" t="str">
        <x:v>±100 RPM ≥250 ms; stop; sin overspeed</x:v>
      </x:c>
      <x:c r="D6" s="51"/>
      <x:c r="E6" s="51" t="str">
        <x:v>Attempts PASS</x:v>
      </x:c>
      <x:c r="F6" s="50" t="n">
        <x:f>COUNTIF('T8_1_ATTEMPTS'!E5:E24,"PASS")</x:f>
        <x:v>0</x:v>
      </x:c>
      <x:c r="G6" s="22" t="str">
        <x:v>Intentos que pasan</x:v>
      </x:c>
    </x:row>
    <x:row r="7">
      <x:c r="A7" s="49" t="str">
        <x:v>1500 RPM</x:v>
      </x:c>
      <x:c r="B7" s="50" t="str">
        <x:f>'T8_1_ATTEMPTS'!E6</x:f>
        <x:v>NOT_RUN</x:v>
      </x:c>
      <x:c r="C7" s="51" t="str">
        <x:v>Mismo gate; requiere owner seguro</x:v>
      </x:c>
      <x:c r="D7" s="51"/>
      <x:c r="E7" s="51" t="str">
        <x:v>Attempts FAIL</x:v>
      </x:c>
      <x:c r="F7" s="50" t="n">
        <x:f>COUNTIF('T8_1_ATTEMPTS'!E5:E24,"FAIL")</x:f>
        <x:v>1</x:v>
      </x:c>
      <x:c r="G7" s="22" t="str">
        <x:v>Intentos fallidos</x:v>
      </x:c>
    </x:row>
    <x:row r="8">
      <x:c r="A8" s="49" t="str">
        <x:v>2000 RPM</x:v>
      </x:c>
      <x:c r="B8" s="50" t="str">
        <x:f>'T8_1_ATTEMPTS'!E7</x:f>
        <x:v>NOT_RUN</x:v>
      </x:c>
      <x:c r="C8" s="51" t="str">
        <x:v>Mismo gate; requiere owner seguro</x:v>
      </x:c>
      <x:c r="D8" s="51"/>
      <x:c r="E8" s="51" t="str">
        <x:v>Attempts BLOCKED</x:v>
      </x:c>
      <x:c r="F8" s="50" t="n">
        <x:f>COUNTIF('T8_1_ATTEMPTS'!E5:E24,"BLOCKED")</x:f>
        <x:v>0</x:v>
      </x:c>
      <x:c r="G8" s="22" t="str">
        <x:v>Intentos bloqueados</x:v>
      </x:c>
    </x:row>
    <x:row r="9">
      <x:c r="A9" s="49" t="str">
        <x:v>2450 RPM</x:v>
      </x:c>
      <x:c r="B9" s="50" t="str">
        <x:f>'T8_1_ATTEMPTS'!E8</x:f>
        <x:v>NOT_RUN</x:v>
      </x:c>
      <x:c r="C9" s="51" t="str">
        <x:v>Mismo gate; requiere owner seguro</x:v>
      </x:c>
      <x:c r="D9" s="51"/>
      <x:c r="E9" s="51" t="str">
        <x:v>Shot rows</x:v>
      </x:c>
      <x:c r="F9" s="50" t="n">
        <x:f>COUNTIF('SHOT_DATASET'!A5:A34,"&lt;&gt;")</x:f>
        <x:v>0</x:v>
      </x:c>
      <x:c r="G9" s="22" t="str">
        <x:v>Debe ser 0 en esta etapa</x:v>
      </x:c>
    </x:row>
    <x:row r="10">
      <x:c r="A10" s="49" t="str">
        <x:v>2900 RPM</x:v>
      </x:c>
      <x:c r="B10" s="50" t="str">
        <x:f>'T8_1_ATTEMPTS'!E9</x:f>
        <x:v>NOT_RUN</x:v>
      </x:c>
      <x:c r="C10" s="51" t="str">
        <x:v>Mismo gate; requiere owner seguro</x:v>
      </x:c>
      <x:c r="D10" s="51"/>
      <x:c r="E10" s="51"/>
      <x:c r="F10" s="51"/>
      <x:c r="G10" s="22"/>
    </x:row>
    <x:row r="11">
      <x:c r="A11" s="49" t="str">
        <x:v>T8.1 rango</x:v>
      </x:c>
      <x:c r="B11" s="50" t="str">
        <x:f>IF(COUNTIF(B6:B10,"PASS")=0,IF(COUNTIF(B6:B10,"FAIL")&gt;0,"FAIL","NOT_RUN"),IF(COUNTIF(B6:B10,"FAIL")&gt;0,"FAIL",IF(COUNTIF(B6:B10,"PASS")=5,"PASS","BLOCKED")))</x:f>
        <x:v>FAIL</x:v>
      </x:c>
      <x:c r="C11" s="51" t="str">
        <x:v>5/5 niveles PASS; humano confirma avance</x:v>
      </x:c>
      <x:c r="D11" s="51"/>
      <x:c r="E11" s="51"/>
      <x:c r="F11" s="51"/>
      <x:c r="G11" s="22"/>
    </x:row>
    <x:row r="12">
      <x:c r="A12" s="49" t="str">
        <x:v>Siguiente acción</x:v>
      </x:c>
      <x:c r="B12" s="130" t="str">
        <x:v>SÓLO 1000 RPM</x:v>
      </x:c>
      <x:c r="C12" s="51" t="str">
        <x:v>No iniciar 1500 hasta nuevo owner/APK y confirmación humana</x:v>
      </x:c>
      <x:c r="D12" s="51"/>
      <x:c r="E12" s="51"/>
      <x:c r="F12" s="51"/>
      <x:c r="G12" s="22"/>
    </x:row>
    <x:row r="13">
      <x:c r="A13" s="54" t="str">
        <x:v>MP-04 / fusión / aim / turret / feeder</x:v>
      </x:c>
      <x:c r="B13" s="131" t="str">
        <x:v>BLOCKED</x:v>
      </x:c>
      <x:c r="C13" s="56" t="str">
        <x:v>Fuera de alcance por instrucción</x:v>
      </x:c>
      <x:c r="D13" s="56"/>
      <x:c r="E13" s="56"/>
      <x:c r="F13" s="56"/>
      <x:c r="G13" s="24"/>
    </x:row>
  </x:sheetData>
  <x:mergeCells>
    <x:mergeCell ref="A1:G1"/>
    <x:mergeCell ref="A2:G2"/>
  </x:mergeCells>
  <x:conditionalFormatting sqref="B5:B13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BLOCKED"/>
    <x:cfRule type="containsText" dxfId="19" priority="4" operator="containsText" text="ABOR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2" hidden="0" customWidth="1"/>
    <x:col min="4" max="4" width="18" hidden="0" customWidth="1"/>
    <x:col min="5" max="5" width="44" hidden="0" customWidth="1"/>
  </x:cols>
  <x:sheetData>
    <x:row r="1" ht="30" customHeight="1">
      <x:c r="A1" s="26" t="str">
        <x:v>TRIPLE QA DEL PAQUETE</x:v>
      </x:c>
      <x:c r="B1" s="26" t="str">
        <x:v>TRIPLE QA DEL PAQUETE</x:v>
      </x:c>
      <x:c r="C1" s="26" t="str">
        <x:v>TRIPLE QA DEL PAQUETE</x:v>
      </x:c>
      <x:c r="D1" s="26" t="str">
        <x:v>TRIPLE QA DEL PAQUETE</x:v>
      </x:c>
      <x:c r="E1" s="26" t="str">
        <x:v>TRIPLE QA DEL PAQUETE</x:v>
      </x:c>
    </x:row>
    <x:row r="2" ht="34" customHeight="1">
      <x:c r="A2" s="29" t="str">
        <x:v>Verificación del template; no representa resultado físico.</x:v>
      </x:c>
      <x:c r="B2" s="29" t="str">
        <x:v>Verificación del template; no representa resultado físico.</x:v>
      </x:c>
      <x:c r="C2" s="29" t="str">
        <x:v>Verificación del template; no representa resultado físico.</x:v>
      </x:c>
      <x:c r="D2" s="29" t="str">
        <x:v>Verificación del template; no representa resultado físico.</x:v>
      </x:c>
      <x:c r="E2" s="29" t="str">
        <x:v>Verificación del template; no representa resultado físico.</x:v>
      </x:c>
    </x:row>
    <x:row r="4" ht="34" customHeight="1">
      <x:c r="A4" s="13" t="str">
        <x:v>CheckId</x:v>
      </x:c>
      <x:c r="B4" s="32" t="str">
        <x:v>Layer</x:v>
      </x:c>
      <x:c r="C4" s="32" t="str">
        <x:v>Check</x:v>
      </x:c>
      <x:c r="D4" s="32" t="str">
        <x:v>Status</x:v>
      </x:c>
      <x:c r="E4" s="14" t="str">
        <x:v>Evidence</x:v>
      </x:c>
    </x:row>
    <x:row r="5">
      <x:c r="A5" s="81" t="str">
        <x:v>QA1-01</x:v>
      </x:c>
      <x:c r="B5" s="83" t="str">
        <x:v>SOURCE</x:v>
      </x:c>
      <x:c r="C5" s="83" t="str">
        <x:v>AGENTS, plan final, T8.1, hardware guide y protocolo leídos</x:v>
      </x:c>
      <x:c r="D5" s="83" t="str">
        <x:v>PASS</x:v>
      </x:c>
      <x:c r="E5" s="84" t="str">
        <x:v>REVISION_FUENTES</x:v>
      </x:c>
    </x:row>
    <x:row r="6">
      <x:c r="A6" s="85" t="str">
        <x:v>QA1-02</x:v>
      </x:c>
      <x:c r="B6" s="51" t="str">
        <x:v>SOURCE</x:v>
      </x:c>
      <x:c r="C6" s="51" t="str">
        <x:v>Ruta activa shooter y owners cotejados</x:v>
      </x:c>
      <x:c r="D6" s="51" t="str">
        <x:v>PASS</x:v>
      </x:c>
      <x:c r="E6" s="22" t="str">
        <x:v>REVISION_FUENTES SRC-05..09</x:v>
      </x:c>
    </x:row>
    <x:row r="7">
      <x:c r="A7" s="85" t="str">
        <x:v>QA1-03</x:v>
      </x:c>
      <x:c r="B7" s="51" t="str">
        <x:v>SOURCE</x:v>
      </x:c>
      <x:c r="C7" s="51" t="str">
        <x:v>Discrepancia MP-03 registrada sin abrir MP-04</x:v>
      </x:c>
      <x:c r="D7" s="51" t="str">
        <x:v>PASS</x:v>
      </x:c>
      <x:c r="E7" s="22" t="str">
        <x:v>REVISION_FUENTES SRC-10..11</x:v>
      </x:c>
    </x:row>
    <x:row r="8">
      <x:c r="A8" s="85" t="str">
        <x:v>QA2-01</x:v>
      </x:c>
      <x:c r="B8" s="51" t="str">
        <x:v>FORMULA</x:v>
      </x:c>
      <x:c r="C8" s="51" t="str">
        <x:v>Libro vacío no declara PASS</x:v>
      </x:c>
      <x:c r="D8" s="51" t="str">
        <x:v>PASS</x:v>
      </x:c>
      <x:c r="E8" s="22" t="str">
        <x:v>DASHBOARD / T8_1_ATTEMPTS</x:v>
      </x:c>
    </x:row>
    <x:row r="9">
      <x:c r="A9" s="85" t="str">
        <x:v>QA2-02</x:v>
      </x:c>
      <x:c r="B9" s="51" t="str">
        <x:v>FORMULA</x:v>
      </x:c>
      <x:c r="C9" s="51" t="str">
        <x:v>Gate usa ±100 RPM, ≥250 ms, Stop y fallos</x:v>
      </x:c>
      <x:c r="D9" s="51" t="str">
        <x:v>PASS</x:v>
      </x:c>
      <x:c r="E9" s="22" t="str">
        <x:v>T8_1_ATTEMPTS AH</x:v>
      </x:c>
    </x:row>
    <x:row r="10">
      <x:c r="A10" s="85" t="str">
        <x:v>QA2-03</x:v>
      </x:c>
      <x:c r="B10" s="51" t="str">
        <x:v>FORMULA</x:v>
      </x:c>
      <x:c r="C10" s="51" t="str">
        <x:v>Sin errores de fórmula</x:v>
      </x:c>
      <x:c r="D10" s="51" t="str">
        <x:v>PASS</x:v>
      </x:c>
      <x:c r="E10" s="22" t="str">
        <x:v>Reopen scan</x:v>
      </x:c>
    </x:row>
    <x:row r="11">
      <x:c r="A11" s="85" t="str">
        <x:v>QA2-04</x:v>
      </x:c>
      <x:c r="B11" s="51" t="str">
        <x:v>SCHEMA</x:v>
      </x:c>
      <x:c r="C11" s="51" t="str">
        <x:v>SHOT_DATASET conserva nueve columnas exportables</x:v>
      </x:c>
      <x:c r="D11" s="51" t="str">
        <x:v>PASS</x:v>
      </x:c>
      <x:c r="E11" s="22" t="str">
        <x:v>EXPORT_SHOT_DATASET</x:v>
      </x:c>
    </x:row>
    <x:row r="12">
      <x:c r="A12" s="85" t="str">
        <x:v>QA2-05</x:v>
      </x:c>
      <x:c r="B12" s="51" t="str">
        <x:v>SCOPE</x:v>
      </x:c>
      <x:c r="C12" s="51" t="str">
        <x:v>3600, piezas, feeder, MP-04, fusión, aim y torreta bloqueados</x:v>
      </x:c>
      <x:c r="D12" s="51" t="str">
        <x:v>PASS</x:v>
      </x:c>
      <x:c r="E12" s="22" t="str">
        <x:v>INSTRUCCIONES / DASHBOARD</x:v>
      </x:c>
    </x:row>
    <x:row r="13">
      <x:c r="A13" s="85" t="str">
        <x:v>QA3-01</x:v>
      </x:c>
      <x:c r="B13" s="51" t="str">
        <x:v>ROUND_TRIP</x:v>
      </x:c>
      <x:c r="C13" s="51" t="str">
        <x:v>Export/reimport exitoso</x:v>
      </x:c>
      <x:c r="D13" s="51" t="str">
        <x:v>PASS</x:v>
      </x:c>
      <x:c r="E13" s="22" t="str">
        <x:v>Artifact-tool reopen</x:v>
      </x:c>
    </x:row>
    <x:row r="14">
      <x:c r="A14" s="85" t="str">
        <x:v>QA3-02</x:v>
      </x:c>
      <x:c r="B14" s="51" t="str">
        <x:v>VISUAL</x:v>
      </x:c>
      <x:c r="C14" s="51" t="str">
        <x:v>Todas las hojas renderizadas</x:v>
      </x:c>
      <x:c r="D14" s="51" t="str">
        <x:v>PASS</x:v>
      </x:c>
      <x:c r="E14" s="22" t="str">
        <x:v>11 PNG</x:v>
      </x:c>
    </x:row>
    <x:row r="15">
      <x:c r="A15" s="85" t="str">
        <x:v>QA3-03</x:v>
      </x:c>
      <x:c r="B15" s="51" t="str">
        <x:v>VISUAL</x:v>
      </x:c>
      <x:c r="C15" s="51" t="str">
        <x:v>Todas las hojas revisadas sin defectos severos</x:v>
      </x:c>
      <x:c r="D15" s="51" t="str">
        <x:v>PASS</x:v>
      </x:c>
      <x:c r="E15" s="22" t="str">
        <x:v>11 previews finales</x:v>
      </x:c>
    </x:row>
    <x:row r="16">
      <x:c r="A16" s="85" t="str">
        <x:v>QA3-04</x:v>
      </x:c>
      <x:c r="B16" s="51" t="str">
        <x:v>HASH</x:v>
      </x:c>
      <x:c r="C16" s="51" t="str">
        <x:v>SHA-256 final calculado después del QA visual</x:v>
      </x:c>
      <x:c r="D16" s="51" t="str">
        <x:v>PASS</x:v>
      </x:c>
      <x:c r="E16" s="22" t="str">
        <x:v>Sidecar .sha256 externo</x:v>
      </x:c>
    </x:row>
    <x:row r="17">
      <x:c r="A17" s="86" t="str">
        <x:v>QA3-05</x:v>
      </x:c>
      <x:c r="B17" s="88" t="str">
        <x:v>PHYSICAL</x:v>
      </x:c>
      <x:c r="C17" s="88" t="str">
        <x:v>Resultados físicos no prellenados</x:v>
      </x:c>
      <x:c r="D17" s="88" t="str">
        <x:v>PASS</x:v>
      </x:c>
      <x:c r="E17" s="89" t="str">
        <x:v>Attempts=NOT_RUN</x:v>
      </x:c>
    </x:row>
  </x:sheetData>
  <x:mergeCells>
    <x:mergeCell ref="A1:E1"/>
    <x:mergeCell ref="A2:E2"/>
  </x:mergeCells>
  <x:conditionalFormatting sqref="D5:D17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BLOCKED"/>
    <x:cfRule type="containsText" dxfId="23" priority="4" operator="containsText" text="ABORTED"/>
  </x:conditionalFormatting>
  <x:pageMargins left="0.7" right="0.7" top="0.75" bottom="0.75" header="0.3" footer="0.3"/>
</x:worksheet>
</file>