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FtcRobotController\outputs\plan-final-antespremier\"/>
    </mc:Choice>
  </mc:AlternateContent>
  <xr:revisionPtr revIDLastSave="0" documentId="13_ncr:1_{50D3AAB4-CC69-42F6-9BD0-ECA0983D5834}" xr6:coauthVersionLast="47" xr6:coauthVersionMax="47" xr10:uidLastSave="{00000000-0000-0000-0000-000000000000}"/>
  <bookViews>
    <workbookView xWindow="-108" yWindow="-108" windowWidth="23256" windowHeight="13896" firstSheet="3" activeTab="13" xr2:uid="{7808FFCD-C681-4DC4-8105-638755A9C2BB}"/>
  </bookViews>
  <sheets>
    <sheet name="INSTRUCCIONES" sheetId="1" r:id="rId1"/>
    <sheet name="SESION" sheetId="2" r:id="rId2"/>
    <sheet name="CAMBIOS" sheetId="3" r:id="rId3"/>
    <sheet name="CONFIG" sheetId="4" r:id="rId4"/>
    <sheet name="CATALOGOS" sheetId="5" r:id="rId5"/>
    <sheet name="MP03_01_Config" sheetId="6" r:id="rId6"/>
    <sheet name="MP03_02_Lifecycle" sheetId="7" r:id="rId7"/>
    <sheet name="MP03_03_Tags" sheetId="8" r:id="rId8"/>
    <sheet name="MP03_04_Faults" sheetId="9" r:id="rId9"/>
    <sheet name="MP03_05_StaticPose" sheetId="10" r:id="rId10"/>
    <sheet name="SHOT_DATASET" sheetId="11" r:id="rId11"/>
    <sheet name="EXPORT_SHOT_DATASET" sheetId="12" r:id="rId12"/>
    <sheet name="DASHBOARD" sheetId="13" r:id="rId13"/>
    <sheet name="QA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" i="13" l="1"/>
  <c r="F5" i="13"/>
  <c r="B7" i="13"/>
  <c r="B5" i="13"/>
  <c r="I64" i="12"/>
  <c r="H64" i="12"/>
  <c r="G64" i="12"/>
  <c r="F64" i="12"/>
  <c r="E64" i="12"/>
  <c r="D64" i="12"/>
  <c r="C64" i="12"/>
  <c r="B64" i="12"/>
  <c r="A64" i="12"/>
  <c r="I63" i="12"/>
  <c r="H63" i="12"/>
  <c r="G63" i="12"/>
  <c r="F63" i="12"/>
  <c r="E63" i="12"/>
  <c r="D63" i="12"/>
  <c r="C63" i="12"/>
  <c r="B63" i="12"/>
  <c r="A63" i="12"/>
  <c r="I62" i="12"/>
  <c r="H62" i="12"/>
  <c r="G62" i="12"/>
  <c r="F62" i="12"/>
  <c r="E62" i="12"/>
  <c r="D62" i="12"/>
  <c r="C62" i="12"/>
  <c r="B62" i="12"/>
  <c r="A62" i="12"/>
  <c r="I61" i="12"/>
  <c r="H61" i="12"/>
  <c r="G61" i="12"/>
  <c r="F61" i="12"/>
  <c r="E61" i="12"/>
  <c r="D61" i="12"/>
  <c r="C61" i="12"/>
  <c r="B61" i="12"/>
  <c r="A61" i="12"/>
  <c r="I60" i="12"/>
  <c r="H60" i="12"/>
  <c r="G60" i="12"/>
  <c r="F60" i="12"/>
  <c r="E60" i="12"/>
  <c r="D60" i="12"/>
  <c r="C60" i="12"/>
  <c r="B60" i="12"/>
  <c r="A60" i="12"/>
  <c r="I59" i="12"/>
  <c r="H59" i="12"/>
  <c r="G59" i="12"/>
  <c r="F59" i="12"/>
  <c r="E59" i="12"/>
  <c r="D59" i="12"/>
  <c r="C59" i="12"/>
  <c r="B59" i="12"/>
  <c r="A59" i="12"/>
  <c r="I58" i="12"/>
  <c r="H58" i="12"/>
  <c r="G58" i="12"/>
  <c r="F58" i="12"/>
  <c r="E58" i="12"/>
  <c r="D58" i="12"/>
  <c r="C58" i="12"/>
  <c r="B58" i="12"/>
  <c r="A58" i="12"/>
  <c r="I57" i="12"/>
  <c r="H57" i="12"/>
  <c r="G57" i="12"/>
  <c r="F57" i="12"/>
  <c r="E57" i="12"/>
  <c r="D57" i="12"/>
  <c r="C57" i="12"/>
  <c r="B57" i="12"/>
  <c r="A57" i="12"/>
  <c r="I56" i="12"/>
  <c r="H56" i="12"/>
  <c r="G56" i="12"/>
  <c r="F56" i="12"/>
  <c r="E56" i="12"/>
  <c r="D56" i="12"/>
  <c r="C56" i="12"/>
  <c r="B56" i="12"/>
  <c r="A56" i="12"/>
  <c r="I55" i="12"/>
  <c r="H55" i="12"/>
  <c r="G55" i="12"/>
  <c r="F55" i="12"/>
  <c r="E55" i="12"/>
  <c r="D55" i="12"/>
  <c r="C55" i="12"/>
  <c r="B55" i="12"/>
  <c r="A55" i="12"/>
  <c r="I54" i="12"/>
  <c r="H54" i="12"/>
  <c r="G54" i="12"/>
  <c r="F54" i="12"/>
  <c r="E54" i="12"/>
  <c r="D54" i="12"/>
  <c r="C54" i="12"/>
  <c r="B54" i="12"/>
  <c r="A54" i="12"/>
  <c r="I53" i="12"/>
  <c r="H53" i="12"/>
  <c r="G53" i="12"/>
  <c r="F53" i="12"/>
  <c r="E53" i="12"/>
  <c r="D53" i="12"/>
  <c r="C53" i="12"/>
  <c r="B53" i="12"/>
  <c r="A53" i="12"/>
  <c r="I52" i="12"/>
  <c r="H52" i="12"/>
  <c r="G52" i="12"/>
  <c r="F52" i="12"/>
  <c r="E52" i="12"/>
  <c r="D52" i="12"/>
  <c r="C52" i="12"/>
  <c r="B52" i="12"/>
  <c r="A52" i="12"/>
  <c r="I51" i="12"/>
  <c r="H51" i="12"/>
  <c r="G51" i="12"/>
  <c r="F51" i="12"/>
  <c r="E51" i="12"/>
  <c r="D51" i="12"/>
  <c r="C51" i="12"/>
  <c r="B51" i="12"/>
  <c r="A51" i="12"/>
  <c r="I50" i="12"/>
  <c r="H50" i="12"/>
  <c r="G50" i="12"/>
  <c r="F50" i="12"/>
  <c r="E50" i="12"/>
  <c r="D50" i="12"/>
  <c r="C50" i="12"/>
  <c r="B50" i="12"/>
  <c r="A50" i="12"/>
  <c r="I49" i="12"/>
  <c r="H49" i="12"/>
  <c r="G49" i="12"/>
  <c r="F49" i="12"/>
  <c r="E49" i="12"/>
  <c r="D49" i="12"/>
  <c r="C49" i="12"/>
  <c r="B49" i="12"/>
  <c r="A49" i="12"/>
  <c r="I48" i="12"/>
  <c r="H48" i="12"/>
  <c r="G48" i="12"/>
  <c r="F48" i="12"/>
  <c r="E48" i="12"/>
  <c r="D48" i="12"/>
  <c r="C48" i="12"/>
  <c r="B48" i="12"/>
  <c r="A48" i="12"/>
  <c r="I47" i="12"/>
  <c r="H47" i="12"/>
  <c r="G47" i="12"/>
  <c r="F47" i="12"/>
  <c r="E47" i="12"/>
  <c r="D47" i="12"/>
  <c r="C47" i="12"/>
  <c r="B47" i="12"/>
  <c r="A47" i="12"/>
  <c r="I46" i="12"/>
  <c r="H46" i="12"/>
  <c r="G46" i="12"/>
  <c r="F46" i="12"/>
  <c r="E46" i="12"/>
  <c r="D46" i="12"/>
  <c r="C46" i="12"/>
  <c r="B46" i="12"/>
  <c r="A46" i="12"/>
  <c r="I45" i="12"/>
  <c r="H45" i="12"/>
  <c r="G45" i="12"/>
  <c r="F45" i="12"/>
  <c r="E45" i="12"/>
  <c r="D45" i="12"/>
  <c r="C45" i="12"/>
  <c r="B45" i="12"/>
  <c r="A45" i="12"/>
  <c r="I44" i="12"/>
  <c r="H44" i="12"/>
  <c r="G44" i="12"/>
  <c r="F44" i="12"/>
  <c r="E44" i="12"/>
  <c r="D44" i="12"/>
  <c r="C44" i="12"/>
  <c r="B44" i="12"/>
  <c r="A44" i="12"/>
  <c r="I43" i="12"/>
  <c r="H43" i="12"/>
  <c r="G43" i="12"/>
  <c r="F43" i="12"/>
  <c r="E43" i="12"/>
  <c r="D43" i="12"/>
  <c r="C43" i="12"/>
  <c r="B43" i="12"/>
  <c r="A43" i="12"/>
  <c r="I42" i="12"/>
  <c r="H42" i="12"/>
  <c r="G42" i="12"/>
  <c r="F42" i="12"/>
  <c r="E42" i="12"/>
  <c r="D42" i="12"/>
  <c r="C42" i="12"/>
  <c r="B42" i="12"/>
  <c r="A42" i="12"/>
  <c r="I41" i="12"/>
  <c r="H41" i="12"/>
  <c r="G41" i="12"/>
  <c r="F41" i="12"/>
  <c r="E41" i="12"/>
  <c r="D41" i="12"/>
  <c r="C41" i="12"/>
  <c r="B41" i="12"/>
  <c r="A41" i="12"/>
  <c r="I40" i="12"/>
  <c r="H40" i="12"/>
  <c r="G40" i="12"/>
  <c r="F40" i="12"/>
  <c r="E40" i="12"/>
  <c r="D40" i="12"/>
  <c r="C40" i="12"/>
  <c r="B40" i="12"/>
  <c r="A40" i="12"/>
  <c r="I39" i="12"/>
  <c r="H39" i="12"/>
  <c r="G39" i="12"/>
  <c r="F39" i="12"/>
  <c r="E39" i="12"/>
  <c r="D39" i="12"/>
  <c r="C39" i="12"/>
  <c r="B39" i="12"/>
  <c r="A39" i="12"/>
  <c r="I38" i="12"/>
  <c r="H38" i="12"/>
  <c r="G38" i="12"/>
  <c r="F38" i="12"/>
  <c r="E38" i="12"/>
  <c r="D38" i="12"/>
  <c r="C38" i="12"/>
  <c r="B38" i="12"/>
  <c r="A38" i="12"/>
  <c r="I37" i="12"/>
  <c r="H37" i="12"/>
  <c r="G37" i="12"/>
  <c r="F37" i="12"/>
  <c r="E37" i="12"/>
  <c r="D37" i="12"/>
  <c r="C37" i="12"/>
  <c r="B37" i="12"/>
  <c r="A37" i="12"/>
  <c r="I36" i="12"/>
  <c r="H36" i="12"/>
  <c r="G36" i="12"/>
  <c r="F36" i="12"/>
  <c r="E36" i="12"/>
  <c r="D36" i="12"/>
  <c r="C36" i="12"/>
  <c r="B36" i="12"/>
  <c r="A36" i="12"/>
  <c r="I35" i="12"/>
  <c r="H35" i="12"/>
  <c r="G35" i="12"/>
  <c r="F35" i="12"/>
  <c r="E35" i="12"/>
  <c r="D35" i="12"/>
  <c r="C35" i="12"/>
  <c r="B35" i="12"/>
  <c r="A35" i="12"/>
  <c r="I34" i="12"/>
  <c r="H34" i="12"/>
  <c r="G34" i="12"/>
  <c r="F34" i="12"/>
  <c r="E34" i="12"/>
  <c r="D34" i="12"/>
  <c r="C34" i="12"/>
  <c r="B34" i="12"/>
  <c r="A34" i="12"/>
  <c r="I33" i="12"/>
  <c r="H33" i="12"/>
  <c r="G33" i="12"/>
  <c r="F33" i="12"/>
  <c r="E33" i="12"/>
  <c r="D33" i="12"/>
  <c r="C33" i="12"/>
  <c r="B33" i="12"/>
  <c r="A33" i="12"/>
  <c r="I32" i="12"/>
  <c r="H32" i="12"/>
  <c r="G32" i="12"/>
  <c r="F32" i="12"/>
  <c r="E32" i="12"/>
  <c r="D32" i="12"/>
  <c r="C32" i="12"/>
  <c r="B32" i="12"/>
  <c r="A32" i="12"/>
  <c r="I31" i="12"/>
  <c r="H31" i="12"/>
  <c r="G31" i="12"/>
  <c r="F31" i="12"/>
  <c r="E31" i="12"/>
  <c r="D31" i="12"/>
  <c r="C31" i="12"/>
  <c r="B31" i="12"/>
  <c r="A31" i="12"/>
  <c r="I30" i="12"/>
  <c r="H30" i="12"/>
  <c r="G30" i="12"/>
  <c r="F30" i="12"/>
  <c r="E30" i="12"/>
  <c r="D30" i="12"/>
  <c r="C30" i="12"/>
  <c r="B30" i="12"/>
  <c r="A30" i="12"/>
  <c r="I29" i="12"/>
  <c r="H29" i="12"/>
  <c r="G29" i="12"/>
  <c r="F29" i="12"/>
  <c r="E29" i="12"/>
  <c r="D29" i="12"/>
  <c r="C29" i="12"/>
  <c r="B29" i="12"/>
  <c r="A29" i="12"/>
  <c r="I28" i="12"/>
  <c r="H28" i="12"/>
  <c r="G28" i="12"/>
  <c r="F28" i="12"/>
  <c r="E28" i="12"/>
  <c r="D28" i="12"/>
  <c r="C28" i="12"/>
  <c r="B28" i="12"/>
  <c r="A28" i="12"/>
  <c r="I27" i="12"/>
  <c r="H27" i="12"/>
  <c r="G27" i="12"/>
  <c r="F27" i="12"/>
  <c r="E27" i="12"/>
  <c r="D27" i="12"/>
  <c r="C27" i="12"/>
  <c r="B27" i="12"/>
  <c r="A27" i="12"/>
  <c r="I26" i="12"/>
  <c r="H26" i="12"/>
  <c r="G26" i="12"/>
  <c r="F26" i="12"/>
  <c r="E26" i="12"/>
  <c r="D26" i="12"/>
  <c r="C26" i="12"/>
  <c r="B26" i="12"/>
  <c r="A26" i="12"/>
  <c r="I25" i="12"/>
  <c r="H25" i="12"/>
  <c r="G25" i="12"/>
  <c r="F25" i="12"/>
  <c r="E25" i="12"/>
  <c r="D25" i="12"/>
  <c r="C25" i="12"/>
  <c r="B25" i="12"/>
  <c r="A25" i="12"/>
  <c r="I24" i="12"/>
  <c r="H24" i="12"/>
  <c r="G24" i="12"/>
  <c r="F24" i="12"/>
  <c r="E24" i="12"/>
  <c r="D24" i="12"/>
  <c r="C24" i="12"/>
  <c r="B24" i="12"/>
  <c r="A24" i="12"/>
  <c r="I23" i="12"/>
  <c r="H23" i="12"/>
  <c r="G23" i="12"/>
  <c r="F23" i="12"/>
  <c r="E23" i="12"/>
  <c r="D23" i="12"/>
  <c r="C23" i="12"/>
  <c r="B23" i="12"/>
  <c r="A23" i="12"/>
  <c r="I22" i="12"/>
  <c r="H22" i="12"/>
  <c r="G22" i="12"/>
  <c r="F22" i="12"/>
  <c r="E22" i="12"/>
  <c r="D22" i="12"/>
  <c r="C22" i="12"/>
  <c r="B22" i="12"/>
  <c r="A22" i="12"/>
  <c r="I21" i="12"/>
  <c r="H21" i="12"/>
  <c r="G21" i="12"/>
  <c r="F21" i="12"/>
  <c r="E21" i="12"/>
  <c r="D21" i="12"/>
  <c r="C21" i="12"/>
  <c r="B21" i="12"/>
  <c r="A21" i="12"/>
  <c r="I20" i="12"/>
  <c r="H20" i="12"/>
  <c r="G20" i="12"/>
  <c r="F20" i="12"/>
  <c r="E20" i="12"/>
  <c r="D20" i="12"/>
  <c r="C20" i="12"/>
  <c r="B20" i="12"/>
  <c r="A20" i="12"/>
  <c r="I19" i="12"/>
  <c r="H19" i="12"/>
  <c r="G19" i="12"/>
  <c r="F19" i="12"/>
  <c r="E19" i="12"/>
  <c r="D19" i="12"/>
  <c r="C19" i="12"/>
  <c r="B19" i="12"/>
  <c r="A19" i="12"/>
  <c r="I18" i="12"/>
  <c r="H18" i="12"/>
  <c r="G18" i="12"/>
  <c r="F18" i="12"/>
  <c r="E18" i="12"/>
  <c r="D18" i="12"/>
  <c r="C18" i="12"/>
  <c r="B18" i="12"/>
  <c r="A18" i="12"/>
  <c r="I17" i="12"/>
  <c r="H17" i="12"/>
  <c r="G17" i="12"/>
  <c r="F17" i="12"/>
  <c r="E17" i="12"/>
  <c r="D17" i="12"/>
  <c r="C17" i="12"/>
  <c r="B17" i="12"/>
  <c r="A17" i="12"/>
  <c r="I16" i="12"/>
  <c r="H16" i="12"/>
  <c r="G16" i="12"/>
  <c r="F16" i="12"/>
  <c r="E16" i="12"/>
  <c r="D16" i="12"/>
  <c r="C16" i="12"/>
  <c r="B16" i="12"/>
  <c r="A16" i="12"/>
  <c r="I15" i="12"/>
  <c r="H15" i="12"/>
  <c r="G15" i="12"/>
  <c r="F15" i="12"/>
  <c r="E15" i="12"/>
  <c r="D15" i="12"/>
  <c r="C15" i="12"/>
  <c r="B15" i="12"/>
  <c r="A15" i="12"/>
  <c r="I14" i="12"/>
  <c r="H14" i="12"/>
  <c r="G14" i="12"/>
  <c r="F14" i="12"/>
  <c r="E14" i="12"/>
  <c r="D14" i="12"/>
  <c r="C14" i="12"/>
  <c r="B14" i="12"/>
  <c r="A14" i="12"/>
  <c r="I13" i="12"/>
  <c r="H13" i="12"/>
  <c r="G13" i="12"/>
  <c r="F13" i="12"/>
  <c r="E13" i="12"/>
  <c r="D13" i="12"/>
  <c r="C13" i="12"/>
  <c r="B13" i="12"/>
  <c r="A13" i="12"/>
  <c r="I12" i="12"/>
  <c r="H12" i="12"/>
  <c r="G12" i="12"/>
  <c r="F12" i="12"/>
  <c r="E12" i="12"/>
  <c r="D12" i="12"/>
  <c r="C12" i="12"/>
  <c r="B12" i="12"/>
  <c r="A12" i="12"/>
  <c r="I11" i="12"/>
  <c r="H11" i="12"/>
  <c r="G11" i="12"/>
  <c r="F11" i="12"/>
  <c r="E11" i="12"/>
  <c r="D11" i="12"/>
  <c r="C11" i="12"/>
  <c r="B11" i="12"/>
  <c r="A11" i="12"/>
  <c r="I10" i="12"/>
  <c r="H10" i="12"/>
  <c r="G10" i="12"/>
  <c r="F10" i="12"/>
  <c r="E10" i="12"/>
  <c r="D10" i="12"/>
  <c r="C10" i="12"/>
  <c r="B10" i="12"/>
  <c r="A10" i="12"/>
  <c r="I9" i="12"/>
  <c r="H9" i="12"/>
  <c r="G9" i="12"/>
  <c r="F9" i="12"/>
  <c r="E9" i="12"/>
  <c r="D9" i="12"/>
  <c r="C9" i="12"/>
  <c r="B9" i="12"/>
  <c r="A9" i="12"/>
  <c r="I8" i="12"/>
  <c r="H8" i="12"/>
  <c r="G8" i="12"/>
  <c r="F8" i="12"/>
  <c r="E8" i="12"/>
  <c r="D8" i="12"/>
  <c r="C8" i="12"/>
  <c r="B8" i="12"/>
  <c r="A8" i="12"/>
  <c r="I7" i="12"/>
  <c r="H7" i="12"/>
  <c r="G7" i="12"/>
  <c r="F7" i="12"/>
  <c r="E7" i="12"/>
  <c r="D7" i="12"/>
  <c r="C7" i="12"/>
  <c r="B7" i="12"/>
  <c r="A7" i="12"/>
  <c r="I6" i="12"/>
  <c r="H6" i="12"/>
  <c r="G6" i="12"/>
  <c r="F6" i="12"/>
  <c r="E6" i="12"/>
  <c r="D6" i="12"/>
  <c r="C6" i="12"/>
  <c r="B6" i="12"/>
  <c r="A6" i="12"/>
  <c r="I5" i="12"/>
  <c r="H5" i="12"/>
  <c r="G5" i="12"/>
  <c r="F5" i="12"/>
  <c r="E5" i="12"/>
  <c r="D5" i="12"/>
  <c r="C5" i="12"/>
  <c r="B5" i="12"/>
  <c r="A5" i="12"/>
  <c r="V64" i="11"/>
  <c r="U64" i="11"/>
  <c r="V63" i="11"/>
  <c r="U63" i="11"/>
  <c r="V62" i="11"/>
  <c r="U62" i="11"/>
  <c r="V61" i="11"/>
  <c r="U61" i="11"/>
  <c r="V60" i="11"/>
  <c r="U60" i="11"/>
  <c r="V59" i="11"/>
  <c r="U59" i="11"/>
  <c r="V58" i="11"/>
  <c r="U58" i="11"/>
  <c r="V57" i="11"/>
  <c r="U57" i="11"/>
  <c r="V56" i="11"/>
  <c r="U56" i="11"/>
  <c r="V55" i="11"/>
  <c r="U55" i="11"/>
  <c r="V54" i="11"/>
  <c r="U54" i="11"/>
  <c r="V53" i="11"/>
  <c r="U53" i="11"/>
  <c r="V52" i="11"/>
  <c r="U52" i="11"/>
  <c r="V51" i="11"/>
  <c r="U51" i="11"/>
  <c r="V50" i="11"/>
  <c r="U50" i="11"/>
  <c r="V49" i="11"/>
  <c r="U49" i="11"/>
  <c r="V48" i="11"/>
  <c r="U48" i="11"/>
  <c r="V47" i="11"/>
  <c r="U47" i="11"/>
  <c r="V46" i="11"/>
  <c r="U46" i="11"/>
  <c r="V45" i="11"/>
  <c r="U45" i="11"/>
  <c r="V44" i="11"/>
  <c r="U44" i="11"/>
  <c r="V43" i="11"/>
  <c r="U43" i="11"/>
  <c r="V42" i="11"/>
  <c r="U42" i="11"/>
  <c r="V41" i="11"/>
  <c r="U41" i="11"/>
  <c r="V40" i="11"/>
  <c r="U40" i="11"/>
  <c r="V39" i="11"/>
  <c r="U39" i="11"/>
  <c r="V38" i="11"/>
  <c r="U38" i="11"/>
  <c r="V37" i="11"/>
  <c r="U37" i="11"/>
  <c r="V36" i="11"/>
  <c r="U36" i="11"/>
  <c r="V35" i="11"/>
  <c r="U35" i="11"/>
  <c r="V34" i="11"/>
  <c r="U34" i="11"/>
  <c r="V33" i="11"/>
  <c r="U33" i="11"/>
  <c r="V32" i="11"/>
  <c r="U32" i="11"/>
  <c r="V31" i="11"/>
  <c r="U31" i="11"/>
  <c r="V30" i="11"/>
  <c r="U30" i="11"/>
  <c r="V29" i="11"/>
  <c r="U29" i="11"/>
  <c r="V28" i="11"/>
  <c r="U28" i="11"/>
  <c r="V27" i="11"/>
  <c r="U27" i="11"/>
  <c r="V26" i="11"/>
  <c r="U26" i="11"/>
  <c r="V25" i="11"/>
  <c r="U25" i="11"/>
  <c r="V24" i="11"/>
  <c r="U24" i="11"/>
  <c r="V23" i="11"/>
  <c r="U23" i="11"/>
  <c r="V22" i="11"/>
  <c r="U22" i="11"/>
  <c r="V21" i="11"/>
  <c r="U21" i="11"/>
  <c r="V20" i="11"/>
  <c r="U20" i="11"/>
  <c r="V19" i="11"/>
  <c r="U19" i="11"/>
  <c r="V18" i="11"/>
  <c r="U18" i="11"/>
  <c r="V17" i="11"/>
  <c r="U17" i="11"/>
  <c r="V16" i="11"/>
  <c r="U16" i="11"/>
  <c r="V15" i="11"/>
  <c r="U15" i="11"/>
  <c r="V14" i="11"/>
  <c r="U14" i="11"/>
  <c r="V13" i="11"/>
  <c r="U13" i="11"/>
  <c r="V12" i="11"/>
  <c r="U12" i="11"/>
  <c r="V11" i="11"/>
  <c r="U11" i="11"/>
  <c r="V10" i="11"/>
  <c r="U10" i="11"/>
  <c r="V9" i="11"/>
  <c r="U9" i="11"/>
  <c r="V8" i="11"/>
  <c r="U8" i="11"/>
  <c r="V7" i="11"/>
  <c r="U7" i="11"/>
  <c r="V6" i="11"/>
  <c r="U6" i="11"/>
  <c r="U5" i="11"/>
  <c r="V5" i="11" s="1"/>
  <c r="M24" i="10"/>
  <c r="K24" i="10"/>
  <c r="J24" i="10"/>
  <c r="L24" i="10" s="1"/>
  <c r="M23" i="10"/>
  <c r="K23" i="10"/>
  <c r="J23" i="10"/>
  <c r="L23" i="10" s="1"/>
  <c r="M22" i="10"/>
  <c r="K22" i="10"/>
  <c r="J22" i="10"/>
  <c r="M21" i="10"/>
  <c r="K21" i="10"/>
  <c r="J21" i="10"/>
  <c r="L21" i="10" s="1"/>
  <c r="M20" i="10"/>
  <c r="K20" i="10"/>
  <c r="J20" i="10"/>
  <c r="M19" i="10"/>
  <c r="K19" i="10"/>
  <c r="J19" i="10"/>
  <c r="M18" i="10"/>
  <c r="K18" i="10"/>
  <c r="J18" i="10"/>
  <c r="M17" i="10"/>
  <c r="K17" i="10"/>
  <c r="J17" i="10"/>
  <c r="M16" i="10"/>
  <c r="K16" i="10"/>
  <c r="J16" i="10"/>
  <c r="L16" i="10" s="1"/>
  <c r="M15" i="10"/>
  <c r="K15" i="10"/>
  <c r="J15" i="10"/>
  <c r="L15" i="10" s="1"/>
  <c r="M14" i="10"/>
  <c r="K14" i="10"/>
  <c r="J14" i="10"/>
  <c r="L14" i="10" s="1"/>
  <c r="M13" i="10"/>
  <c r="K13" i="10"/>
  <c r="J13" i="10"/>
  <c r="M12" i="10"/>
  <c r="K12" i="10"/>
  <c r="J12" i="10"/>
  <c r="M11" i="10"/>
  <c r="K11" i="10"/>
  <c r="J11" i="10"/>
  <c r="L11" i="10" s="1"/>
  <c r="M10" i="10"/>
  <c r="K10" i="10"/>
  <c r="J10" i="10"/>
  <c r="L10" i="10" s="1"/>
  <c r="M9" i="10"/>
  <c r="K9" i="10"/>
  <c r="J9" i="10"/>
  <c r="L9" i="10" s="1"/>
  <c r="M8" i="10"/>
  <c r="K8" i="10"/>
  <c r="J8" i="10"/>
  <c r="L8" i="10" s="1"/>
  <c r="M7" i="10"/>
  <c r="K7" i="10"/>
  <c r="J7" i="10"/>
  <c r="M6" i="10"/>
  <c r="K6" i="10"/>
  <c r="J6" i="10"/>
  <c r="M5" i="10"/>
  <c r="K5" i="10"/>
  <c r="J5" i="10"/>
  <c r="J12" i="9"/>
  <c r="J11" i="9"/>
  <c r="J10" i="9"/>
  <c r="J9" i="9"/>
  <c r="J8" i="9"/>
  <c r="J7" i="9"/>
  <c r="J6" i="9"/>
  <c r="J5" i="9"/>
  <c r="B8" i="13" s="1"/>
  <c r="M9" i="7"/>
  <c r="M8" i="7"/>
  <c r="M7" i="7"/>
  <c r="M6" i="7"/>
  <c r="M5" i="7"/>
  <c r="L13" i="10" l="1"/>
  <c r="L6" i="10"/>
  <c r="L17" i="10"/>
  <c r="L22" i="10"/>
  <c r="L5" i="10"/>
  <c r="L18" i="10"/>
  <c r="L20" i="10"/>
  <c r="L12" i="10"/>
  <c r="L19" i="10"/>
  <c r="F6" i="13"/>
  <c r="B6" i="13"/>
  <c r="B9" i="13" s="1"/>
  <c r="L7" i="10"/>
</calcChain>
</file>

<file path=xl/sharedStrings.xml><?xml version="1.0" encoding="utf-8"?>
<sst xmlns="http://schemas.openxmlformats.org/spreadsheetml/2006/main" count="761" uniqueCount="508">
  <si>
    <t>PAQUETE 01 — CIERRE MP-03</t>
  </si>
  <si>
    <t>Guía offline. No habilita pose, torreta, shooter, feeder, intake ni drivetrain.</t>
  </si>
  <si>
    <t>ORDEN OBLIGATORIO</t>
  </si>
  <si>
    <t>Confirmar área despejada, mecanismos sin piezas y Stop accesible.</t>
  </si>
  <si>
    <t>Completar SESION y MP03_01_Config antes de INIT.</t>
  </si>
  <si>
    <t>Ejecutar cinco ciclos con el mismo APK.</t>
  </si>
  <si>
    <t>Registrar tags 20/24 y pose 3D.</t>
  </si>
  <si>
    <t>Ejecutar todos los fallos sin movimiento.</t>
  </si>
  <si>
    <t>Registrar poses estáticas medidas.</t>
  </si>
  <si>
    <t>Revisar DASHBOARD; no editar fórmulas.</t>
  </si>
  <si>
    <t>Guardar con sufijo _FILLED y devolver sin borrar columnas.</t>
  </si>
  <si>
    <t>ABORTAR DE INMEDIATO</t>
  </si>
  <si>
    <t>Movimiento de cualquier actuador</t>
  </si>
  <si>
    <t>STOP/E-stop, ABORTED y evidencia.</t>
  </si>
  <si>
    <t>Humo, olor, calor, ruido o cable suelto</t>
  </si>
  <si>
    <t>Cortar energía; no reconectar.</t>
  </si>
  <si>
    <t>Excepción/reinicio inesperado</t>
  </si>
  <si>
    <t>STOP; registrar mensaje y APK SHA.</t>
  </si>
  <si>
    <t>Pipeline/map/extrínseca distinta</t>
  </si>
  <si>
    <t>Detener pose 3D y crear ConfigRevision.</t>
  </si>
  <si>
    <t>SHOT_DATASET — preparado para sesiones futuras; MP-03 no autoriza tiros.</t>
  </si>
  <si>
    <t>IDENTIDAD DE SESIÓN</t>
  </si>
  <si>
    <t>Completar antes de abrir el OpMode. Amarillo = entrada.</t>
  </si>
  <si>
    <t>Campo</t>
  </si>
  <si>
    <t>Valor</t>
  </si>
  <si>
    <t>Guía</t>
  </si>
  <si>
    <t>Obligatorio</t>
  </si>
  <si>
    <t>SchemaVersion</t>
  </si>
  <si>
    <t>Fijo</t>
  </si>
  <si>
    <t>TemplateVersion</t>
  </si>
  <si>
    <t>PacketId</t>
  </si>
  <si>
    <t>01-cierre-mp03</t>
  </si>
  <si>
    <t>PacketVersion</t>
  </si>
  <si>
    <t>SessionId</t>
  </si>
  <si>
    <t>Ej. MP03-20260722-A</t>
  </si>
  <si>
    <t>REQUIRED</t>
  </si>
  <si>
    <t>Fecha local</t>
  </si>
  <si>
    <t>YYYY-MM-DD</t>
  </si>
  <si>
    <t>Hora inicio</t>
  </si>
  <si>
    <t>HH:MM</t>
  </si>
  <si>
    <t>Ubicación</t>
  </si>
  <si>
    <t>Operador</t>
  </si>
  <si>
    <t>Test lead</t>
  </si>
  <si>
    <t>Safety observer</t>
  </si>
  <si>
    <t>Data recorder</t>
  </si>
  <si>
    <t>Git commit</t>
  </si>
  <si>
    <t>SHA inequívoco</t>
  </si>
  <si>
    <t>APK SHA-256</t>
  </si>
  <si>
    <t>64 hex</t>
  </si>
  <si>
    <t>ConfigRevision</t>
  </si>
  <si>
    <t>R1</t>
  </si>
  <si>
    <t>Incrementar tras cambio material</t>
  </si>
  <si>
    <t>Robot config</t>
  </si>
  <si>
    <t>Nombre/revisión RC</t>
  </si>
  <si>
    <t>Batería ID</t>
  </si>
  <si>
    <t>Voltaje inicial (V)</t>
  </si>
  <si>
    <t>Número</t>
  </si>
  <si>
    <t>Pipeline SHA-256</t>
  </si>
  <si>
    <t>0B954CFA8641B460C13E8DF65A7A4691E7FD409821A09A008BF3ADA141D20693</t>
  </si>
  <si>
    <t>Actualizar si cambia</t>
  </si>
  <si>
    <t>Field map SHA-256</t>
  </si>
  <si>
    <t>Pendiente</t>
  </si>
  <si>
    <t>Condición de luz</t>
  </si>
  <si>
    <t>Notas</t>
  </si>
  <si>
    <t>REGISTRO DE CAMBIOS</t>
  </si>
  <si>
    <t>No mezclar intentos de distintas ConfigRevision.</t>
  </si>
  <si>
    <t>ChangeId</t>
  </si>
  <si>
    <t>TimestampLocal</t>
  </si>
  <si>
    <t>FromRevision</t>
  </si>
  <si>
    <t>ToRevision</t>
  </si>
  <si>
    <t>Category</t>
  </si>
  <si>
    <t>Before</t>
  </si>
  <si>
    <t>After</t>
  </si>
  <si>
    <t>AppliesFromAttemptId</t>
  </si>
  <si>
    <t>Reason</t>
  </si>
  <si>
    <t>CHG-01</t>
  </si>
  <si>
    <t>CHG-02</t>
  </si>
  <si>
    <t>CHG-03</t>
  </si>
  <si>
    <t>CHG-04</t>
  </si>
  <si>
    <t>CHG-05</t>
  </si>
  <si>
    <t>CHG-06</t>
  </si>
  <si>
    <t>CHG-07</t>
  </si>
  <si>
    <t>CHG-08</t>
  </si>
  <si>
    <t>CHG-09</t>
  </si>
  <si>
    <t>CHG-10</t>
  </si>
  <si>
    <t>CHG-11</t>
  </si>
  <si>
    <t>CHG-12</t>
  </si>
  <si>
    <t>CHG-13</t>
  </si>
  <si>
    <t>CHG-14</t>
  </si>
  <si>
    <t>CHG-15</t>
  </si>
  <si>
    <t>CHG-16</t>
  </si>
  <si>
    <t>CHG-17</t>
  </si>
  <si>
    <t>CHG-18</t>
  </si>
  <si>
    <t>CHG-19</t>
  </si>
  <si>
    <t>CHG-20</t>
  </si>
  <si>
    <t>CHG-21</t>
  </si>
  <si>
    <t>CHG-22</t>
  </si>
  <si>
    <t>CHG-23</t>
  </si>
  <si>
    <t>CHG-24</t>
  </si>
  <si>
    <t>CHG-25</t>
  </si>
  <si>
    <t>CHG-26</t>
  </si>
  <si>
    <t>CHG-27</t>
  </si>
  <si>
    <t>CHG-28</t>
  </si>
  <si>
    <t>CHG-29</t>
  </si>
  <si>
    <t>CHG-30</t>
  </si>
  <si>
    <t>CONSTANTES DEL PAQUETE</t>
  </si>
  <si>
    <t>Editar sólo mediante TemplateVersion o ConfigRevision documentada.</t>
  </si>
  <si>
    <t>Key</t>
  </si>
  <si>
    <t>Value</t>
  </si>
  <si>
    <t>Unit</t>
  </si>
  <si>
    <t>Source</t>
  </si>
  <si>
    <t>Purpose</t>
  </si>
  <si>
    <t>LIMELIGHT_MAX_STALENESS_MS</t>
  </si>
  <si>
    <t>ms</t>
  </si>
  <si>
    <t>LowAltitudeConstants.VisionConstants</t>
  </si>
  <si>
    <t>Gate visual</t>
  </si>
  <si>
    <t>EXPECTED_PIPELINE</t>
  </si>
  <si>
    <t>index</t>
  </si>
  <si>
    <t>Pipeline AprilTag</t>
  </si>
  <si>
    <t>BLUE_GOAL_TAG_ID</t>
  </si>
  <si>
    <t>id</t>
  </si>
  <si>
    <t>LowAltitudeConstants.TurretConstants</t>
  </si>
  <si>
    <t>Goal azul</t>
  </si>
  <si>
    <t>RED_GOAL_TAG_ID</t>
  </si>
  <si>
    <t>Goal rojo</t>
  </si>
  <si>
    <t>MARKER_BLACK_SIZE_MM</t>
  </si>
  <si>
    <t>mm</t>
  </si>
  <si>
    <t>mp03-limelight-commissioning.md</t>
  </si>
  <si>
    <t>Cuadrado negro oficial</t>
  </si>
  <si>
    <t>EXPECTED_LIFECYCLE_CYCLES</t>
  </si>
  <si>
    <t>count</t>
  </si>
  <si>
    <t>Gate MP-03</t>
  </si>
  <si>
    <t>Mismo APK</t>
  </si>
  <si>
    <t>SHOOTER_READY_ERROR_RPM</t>
  </si>
  <si>
    <t>RPM</t>
  </si>
  <si>
    <t>T8.1</t>
  </si>
  <si>
    <t>Dataset futuro</t>
  </si>
  <si>
    <t>SHOOTER_READY_DWELL_MS</t>
  </si>
  <si>
    <t>CATÁLOGOS</t>
  </si>
  <si>
    <t>Valores válidos para dropdowns y exports.</t>
  </si>
  <si>
    <t>Status</t>
  </si>
  <si>
    <t>NOT_RUN</t>
  </si>
  <si>
    <t>IN_PROGRESS</t>
  </si>
  <si>
    <t>PASS</t>
  </si>
  <si>
    <t>FAIL</t>
  </si>
  <si>
    <t>BLOCKED</t>
  </si>
  <si>
    <t>ABORTED</t>
  </si>
  <si>
    <t>INVALID_DATA</t>
  </si>
  <si>
    <t>NOT_APPLICABLE</t>
  </si>
  <si>
    <t>YesNo</t>
  </si>
  <si>
    <t>YES</t>
  </si>
  <si>
    <t>NO</t>
  </si>
  <si>
    <t>Quality</t>
  </si>
  <si>
    <t>VALID</t>
  </si>
  <si>
    <t>NO_TARGET</t>
  </si>
  <si>
    <t>WRONG_TAG</t>
  </si>
  <si>
    <t>STALE</t>
  </si>
  <si>
    <t>PIPELINE_MISMATCH</t>
  </si>
  <si>
    <t>DEVICE_DISCONNECTED</t>
  </si>
  <si>
    <t>INVALID</t>
  </si>
  <si>
    <t>ModelKind</t>
  </si>
  <si>
    <t>LINEAR</t>
  </si>
  <si>
    <t>QUADRATIC</t>
  </si>
  <si>
    <t>PIECEWISE</t>
  </si>
  <si>
    <t>Role</t>
  </si>
  <si>
    <t>CALIBRATION</t>
  </si>
  <si>
    <t>HOLDOUT</t>
  </si>
  <si>
    <t>Outcome</t>
  </si>
  <si>
    <t>SCORED</t>
  </si>
  <si>
    <t>SHORT</t>
  </si>
  <si>
    <t>LONG</t>
  </si>
  <si>
    <t>REBOUND</t>
  </si>
  <si>
    <t>OTHER</t>
  </si>
  <si>
    <t>MP03.1 — CONFIGURACIÓN</t>
  </si>
  <si>
    <t>Completar antes de lifecycle.</t>
  </si>
  <si>
    <t>TestId</t>
  </si>
  <si>
    <t>Item</t>
  </si>
  <si>
    <t>Expected</t>
  </si>
  <si>
    <t>Observed</t>
  </si>
  <si>
    <t>EvidenceRef</t>
  </si>
  <si>
    <t>AbortReason</t>
  </si>
  <si>
    <t>Notes</t>
  </si>
  <si>
    <t>CFG-01</t>
  </si>
  <si>
    <t>Mapping RC</t>
  </si>
  <si>
    <t>limelight</t>
  </si>
  <si>
    <t>CFG-02</t>
  </si>
  <si>
    <t>Firmware/UI</t>
  </si>
  <si>
    <t>CFG-03</t>
  </si>
  <si>
    <t>Pipeline index</t>
  </si>
  <si>
    <t>CFG-04</t>
  </si>
  <si>
    <t>Resolución/FPS</t>
  </si>
  <si>
    <t>640x480 / 90</t>
  </si>
  <si>
    <t>CFG-05</t>
  </si>
  <si>
    <t>Tag family</t>
  </si>
  <si>
    <t>AprilTag Classic 36h11</t>
  </si>
  <si>
    <t>CFG-06</t>
  </si>
  <si>
    <t>Marker black size</t>
  </si>
  <si>
    <t>165.1 mm</t>
  </si>
  <si>
    <t>No validar escala con tag 160 mm</t>
  </si>
  <si>
    <t>CFG-07</t>
  </si>
  <si>
    <t>fiducial_skip3d</t>
  </si>
  <si>
    <t>Debe habilitar pose 3D</t>
  </si>
  <si>
    <t>CFG-08</t>
  </si>
  <si>
    <t>Field map export/hash</t>
  </si>
  <si>
    <t>Presente + SHA-256</t>
  </si>
  <si>
    <t>CFG-09</t>
  </si>
  <si>
    <t>Extrínseca activa</t>
  </si>
  <si>
    <t>30 deg, yaw=0, roll=0</t>
  </si>
  <si>
    <t>Usar geometria-robot-mp04.md</t>
  </si>
  <si>
    <t>CFG-10</t>
  </si>
  <si>
    <t>Montaje rígido</t>
  </si>
  <si>
    <t>CFG-11</t>
  </si>
  <si>
    <t>Oclusión en posiciones de prueba</t>
  </si>
  <si>
    <t>CFG-12</t>
  </si>
  <si>
    <t>Tag azul 20 disponible</t>
  </si>
  <si>
    <t>CFG-13</t>
  </si>
  <si>
    <t>Tag rojo 24 disponible</t>
  </si>
  <si>
    <t>CFG-14</t>
  </si>
  <si>
    <t>Sin consumidores de actuadores</t>
  </si>
  <si>
    <t>Revisión humana</t>
  </si>
  <si>
    <t>MP03.2 — CINCO CICLOS</t>
  </si>
  <si>
    <t>Mismo APK. Movimiento o excepción aborta.</t>
  </si>
  <si>
    <t>Cycle</t>
  </si>
  <si>
    <t>Init</t>
  </si>
  <si>
    <t>Start</t>
  </si>
  <si>
    <t>Stop</t>
  </si>
  <si>
    <t>Connected</t>
  </si>
  <si>
    <t>PipelineObserved</t>
  </si>
  <si>
    <t>Exception</t>
  </si>
  <si>
    <t>ResourceOpenAfterStop</t>
  </si>
  <si>
    <t>AnyMovement</t>
  </si>
  <si>
    <t>LIFE-1</t>
  </si>
  <si>
    <t>LIFE-2</t>
  </si>
  <si>
    <t>LIFE-3</t>
  </si>
  <si>
    <t>LIFE-4</t>
  </si>
  <si>
    <t>LIFE-5</t>
  </si>
  <si>
    <t>MP03.3 — TAGS Y POSE 3D</t>
  </si>
  <si>
    <t>Una fila por observación nueva; no promediar a mano.</t>
  </si>
  <si>
    <t>AttemptId</t>
  </si>
  <si>
    <t>TagId</t>
  </si>
  <si>
    <t>Alliance</t>
  </si>
  <si>
    <t>ExpectedTag</t>
  </si>
  <si>
    <t>TxDeg</t>
  </si>
  <si>
    <t>TyDeg</t>
  </si>
  <si>
    <t>AreaPct</t>
  </si>
  <si>
    <t>StalenessMs</t>
  </si>
  <si>
    <t>TargetLatencyMs</t>
  </si>
  <si>
    <t>CaptureLatencyMs</t>
  </si>
  <si>
    <t>TotalLatencyMs</t>
  </si>
  <si>
    <t>TagCount</t>
  </si>
  <si>
    <t>BotPoseAvailable</t>
  </si>
  <si>
    <t>BotX</t>
  </si>
  <si>
    <t>BotY</t>
  </si>
  <si>
    <t>BotZ</t>
  </si>
  <si>
    <t>BotYawDeg</t>
  </si>
  <si>
    <t>Finite</t>
  </si>
  <si>
    <t>RejectionReason</t>
  </si>
  <si>
    <t>TAG-01</t>
  </si>
  <si>
    <t>TAG-02</t>
  </si>
  <si>
    <t>TAG-03</t>
  </si>
  <si>
    <t>TAG-04</t>
  </si>
  <si>
    <t>TAG-05</t>
  </si>
  <si>
    <t>TAG-06</t>
  </si>
  <si>
    <t>TAG-07</t>
  </si>
  <si>
    <t>TAG-08</t>
  </si>
  <si>
    <t>TAG-09</t>
  </si>
  <si>
    <t>TAG-10</t>
  </si>
  <si>
    <t>TAG-11</t>
  </si>
  <si>
    <t>TAG-12</t>
  </si>
  <si>
    <t>TAG-13</t>
  </si>
  <si>
    <t>TAG-14</t>
  </si>
  <si>
    <t>TAG-15</t>
  </si>
  <si>
    <t>TAG-16</t>
  </si>
  <si>
    <t>TAG-17</t>
  </si>
  <si>
    <t>TAG-18</t>
  </si>
  <si>
    <t>TAG-19</t>
  </si>
  <si>
    <t>TAG-20</t>
  </si>
  <si>
    <t>TAG-21</t>
  </si>
  <si>
    <t>TAG-22</t>
  </si>
  <si>
    <t>TAG-23</t>
  </si>
  <si>
    <t>TAG-24</t>
  </si>
  <si>
    <t>TAG-25</t>
  </si>
  <si>
    <t>TAG-26</t>
  </si>
  <si>
    <t>TAG-27</t>
  </si>
  <si>
    <t>TAG-28</t>
  </si>
  <si>
    <t>TAG-29</t>
  </si>
  <si>
    <t>TAG-30</t>
  </si>
  <si>
    <t>TAG-31</t>
  </si>
  <si>
    <t>TAG-32</t>
  </si>
  <si>
    <t>TAG-33</t>
  </si>
  <si>
    <t>TAG-34</t>
  </si>
  <si>
    <t>TAG-35</t>
  </si>
  <si>
    <t>TAG-36</t>
  </si>
  <si>
    <t>TAG-37</t>
  </si>
  <si>
    <t>TAG-38</t>
  </si>
  <si>
    <t>TAG-39</t>
  </si>
  <si>
    <t>TAG-40</t>
  </si>
  <si>
    <t>MP03.4 — FALLOS Y RECUPERACIÓN</t>
  </si>
  <si>
    <t>Todos mantienen actuadores inmóviles.</t>
  </si>
  <si>
    <t>Case</t>
  </si>
  <si>
    <t>ExpectedQuality</t>
  </si>
  <si>
    <t>ObservedQuality</t>
  </si>
  <si>
    <t>ActionableValuesZero</t>
  </si>
  <si>
    <t>Recovered</t>
  </si>
  <si>
    <t>FLT-01</t>
  </si>
  <si>
    <t>Camera covered</t>
  </si>
  <si>
    <t>NO_TARGET or STALE</t>
  </si>
  <si>
    <t>FLT-02</t>
  </si>
  <si>
    <t>Wrong tag</t>
  </si>
  <si>
    <t>FLT-03</t>
  </si>
  <si>
    <t>Invalid result</t>
  </si>
  <si>
    <t>FLT-04</t>
  </si>
  <si>
    <t>Wrong pipeline</t>
  </si>
  <si>
    <t>FLT-05</t>
  </si>
  <si>
    <t>Disconnect</t>
  </si>
  <si>
    <t>FLT-06</t>
  </si>
  <si>
    <t>Reconnect</t>
  </si>
  <si>
    <t>Telemetry only recovery</t>
  </si>
  <si>
    <t>FLT-07</t>
  </si>
  <si>
    <t>Stale frame</t>
  </si>
  <si>
    <t>FLT-08</t>
  </si>
  <si>
    <t>No 3D pose</t>
  </si>
  <si>
    <t>Rejected / no actionable pose</t>
  </si>
  <si>
    <t>MP03.5 — POSE ESTÁTICA DIAGNÓSTICA</t>
  </si>
  <si>
    <t>No aplica corrección. Registrar marco y unidades.</t>
  </si>
  <si>
    <t>PhysicalXIn</t>
  </si>
  <si>
    <t>PhysicalYIn</t>
  </si>
  <si>
    <t>PhysicalHeadingDeg</t>
  </si>
  <si>
    <t>LimelightXIn</t>
  </si>
  <si>
    <t>LimelightYIn</t>
  </si>
  <si>
    <t>LimelightHeadingDeg</t>
  </si>
  <si>
    <t>ResidualXIn</t>
  </si>
  <si>
    <t>ResidualYIn</t>
  </si>
  <si>
    <t>ResidualDistanceIn</t>
  </si>
  <si>
    <t>ResidualHeadingDeg</t>
  </si>
  <si>
    <t>POSE-01</t>
  </si>
  <si>
    <t>POSE-02</t>
  </si>
  <si>
    <t>POSE-03</t>
  </si>
  <si>
    <t>POSE-04</t>
  </si>
  <si>
    <t>POSE-05</t>
  </si>
  <si>
    <t>POSE-06</t>
  </si>
  <si>
    <t>POSE-07</t>
  </si>
  <si>
    <t>POSE-08</t>
  </si>
  <si>
    <t>POSE-09</t>
  </si>
  <si>
    <t>POSE-10</t>
  </si>
  <si>
    <t>POSE-11</t>
  </si>
  <si>
    <t>POSE-12</t>
  </si>
  <si>
    <t>POSE-13</t>
  </si>
  <si>
    <t>POSE-14</t>
  </si>
  <si>
    <t>POSE-15</t>
  </si>
  <si>
    <t>POSE-16</t>
  </si>
  <si>
    <t>POSE-17</t>
  </si>
  <si>
    <t>POSE-18</t>
  </si>
  <si>
    <t>POSE-19</t>
  </si>
  <si>
    <t>POSE-20</t>
  </si>
  <si>
    <t>DATASET DE TIRO — EXTRA RPM/DISTANCIA</t>
  </si>
  <si>
    <t>Preparado para sesiones posteriores. MP-03 no autoriza tiros.</t>
  </si>
  <si>
    <t>sessionId</t>
  </si>
  <si>
    <t>distanceGroupId</t>
  </si>
  <si>
    <t>modelKind</t>
  </si>
  <si>
    <t>role</t>
  </si>
  <si>
    <t>distanceInches</t>
  </si>
  <si>
    <t>targetRpm</t>
  </si>
  <si>
    <t>measuredRpmAtFeed</t>
  </si>
  <si>
    <t>rpmReadyHoldMs</t>
  </si>
  <si>
    <t>outcome</t>
  </si>
  <si>
    <t>Position</t>
  </si>
  <si>
    <t>BatteryId</t>
  </si>
  <si>
    <t>FusedXIn</t>
  </si>
  <si>
    <t>FusedYIn</t>
  </si>
  <si>
    <t>FusedHeadingDeg</t>
  </si>
  <si>
    <t>TurretErrorDeg</t>
  </si>
  <si>
    <t>ArtifactBatch</t>
  </si>
  <si>
    <t>RpmError</t>
  </si>
  <si>
    <t>ReadyGate</t>
  </si>
  <si>
    <t>SHOT-001</t>
  </si>
  <si>
    <t>SHOT-002</t>
  </si>
  <si>
    <t>SHOT-003</t>
  </si>
  <si>
    <t>SHOT-004</t>
  </si>
  <si>
    <t>SHOT-005</t>
  </si>
  <si>
    <t>SHOT-006</t>
  </si>
  <si>
    <t>SHOT-007</t>
  </si>
  <si>
    <t>SHOT-008</t>
  </si>
  <si>
    <t>SHOT-009</t>
  </si>
  <si>
    <t>SHOT-010</t>
  </si>
  <si>
    <t>SHOT-011</t>
  </si>
  <si>
    <t>SHOT-012</t>
  </si>
  <si>
    <t>SHOT-013</t>
  </si>
  <si>
    <t>SHOT-014</t>
  </si>
  <si>
    <t>SHOT-015</t>
  </si>
  <si>
    <t>SHOT-016</t>
  </si>
  <si>
    <t>SHOT-017</t>
  </si>
  <si>
    <t>SHOT-018</t>
  </si>
  <si>
    <t>SHOT-019</t>
  </si>
  <si>
    <t>SHOT-020</t>
  </si>
  <si>
    <t>SHOT-021</t>
  </si>
  <si>
    <t>SHOT-022</t>
  </si>
  <si>
    <t>SHOT-023</t>
  </si>
  <si>
    <t>SHOT-024</t>
  </si>
  <si>
    <t>SHOT-025</t>
  </si>
  <si>
    <t>SHOT-026</t>
  </si>
  <si>
    <t>SHOT-027</t>
  </si>
  <si>
    <t>SHOT-028</t>
  </si>
  <si>
    <t>SHOT-029</t>
  </si>
  <si>
    <t>SHOT-030</t>
  </si>
  <si>
    <t>SHOT-031</t>
  </si>
  <si>
    <t>SHOT-032</t>
  </si>
  <si>
    <t>SHOT-033</t>
  </si>
  <si>
    <t>SHOT-034</t>
  </si>
  <si>
    <t>SHOT-035</t>
  </si>
  <si>
    <t>SHOT-036</t>
  </si>
  <si>
    <t>SHOT-037</t>
  </si>
  <si>
    <t>SHOT-038</t>
  </si>
  <si>
    <t>SHOT-039</t>
  </si>
  <si>
    <t>SHOT-040</t>
  </si>
  <si>
    <t>SHOT-041</t>
  </si>
  <si>
    <t>SHOT-042</t>
  </si>
  <si>
    <t>SHOT-043</t>
  </si>
  <si>
    <t>SHOT-044</t>
  </si>
  <si>
    <t>SHOT-045</t>
  </si>
  <si>
    <t>SHOT-046</t>
  </si>
  <si>
    <t>SHOT-047</t>
  </si>
  <si>
    <t>SHOT-048</t>
  </si>
  <si>
    <t>SHOT-049</t>
  </si>
  <si>
    <t>SHOT-050</t>
  </si>
  <si>
    <t>SHOT-051</t>
  </si>
  <si>
    <t>SHOT-052</t>
  </si>
  <si>
    <t>SHOT-053</t>
  </si>
  <si>
    <t>SHOT-054</t>
  </si>
  <si>
    <t>SHOT-055</t>
  </si>
  <si>
    <t>SHOT-056</t>
  </si>
  <si>
    <t>SHOT-057</t>
  </si>
  <si>
    <t>SHOT-058</t>
  </si>
  <si>
    <t>SHOT-059</t>
  </si>
  <si>
    <t>SHOT-060</t>
  </si>
  <si>
    <t>EXPORT SHOT_DATASET — CSV</t>
  </si>
  <si>
    <t>Exportar como CSV; #sessionId hace que el parser ignore el header.</t>
  </si>
  <si>
    <t>#sessionId</t>
  </si>
  <si>
    <t>DASHBOARD MP-03</t>
  </si>
  <si>
    <t>Resumen automático. No editar fórmulas.</t>
  </si>
  <si>
    <t>Gate</t>
  </si>
  <si>
    <t>Criterio</t>
  </si>
  <si>
    <t>Configuración</t>
  </si>
  <si>
    <t>14/14 items PASS</t>
  </si>
  <si>
    <t>Lifecycle</t>
  </si>
  <si>
    <t>5/5 ciclos PASS</t>
  </si>
  <si>
    <t>Tags</t>
  </si>
  <si>
    <t>IDs 20/24 con pose 3D válida/fresca</t>
  </si>
  <si>
    <t>Faults</t>
  </si>
  <si>
    <t>8/8 casos PASS</t>
  </si>
  <si>
    <t>MP-03</t>
  </si>
  <si>
    <t>Todos PASS</t>
  </si>
  <si>
    <t>Dataset extra</t>
  </si>
  <si>
    <t>Meaning</t>
  </si>
  <si>
    <t>Rows captured</t>
  </si>
  <si>
    <t>Tiros con sessionId</t>
  </si>
  <si>
    <t>Rows ready</t>
  </si>
  <si>
    <t>RPM gate PASS</t>
  </si>
  <si>
    <t>Scored</t>
  </si>
  <si>
    <t>Outcome SCORED</t>
  </si>
  <si>
    <t>Model status</t>
  </si>
  <si>
    <t>EXTRA / NOT BLOCKING</t>
  </si>
  <si>
    <t>No afecta MP-03</t>
  </si>
  <si>
    <t>MP-03 PASS sólo autoriza abrir MP-04. Nunca autoriza movimiento o disparo.</t>
  </si>
  <si>
    <t>TRIPLE QA DEL TEMPLATE</t>
  </si>
  <si>
    <t>Fallback Excel nativo autorizado; SHA final está en sidecar.</t>
  </si>
  <si>
    <t>CheckId</t>
  </si>
  <si>
    <t>Layer</t>
  </si>
  <si>
    <t>Check</t>
  </si>
  <si>
    <t>Evidence</t>
  </si>
  <si>
    <t>QA1-01</t>
  </si>
  <si>
    <t>SOURCE</t>
  </si>
  <si>
    <t>AGENTS/docs MP-03 leídos</t>
  </si>
  <si>
    <t>Builder manifest</t>
  </si>
  <si>
    <t>QA1-02</t>
  </si>
  <si>
    <t>IDs/unidades/thresholds cotejados</t>
  </si>
  <si>
    <t>CONFIG</t>
  </si>
  <si>
    <t>QA1-03</t>
  </si>
  <si>
    <t>Dataset coincide con ShotDatasetCsv</t>
  </si>
  <si>
    <t>EXPORT_SHOT_DATASET</t>
  </si>
  <si>
    <t>QA2-01</t>
  </si>
  <si>
    <t>FORMULA</t>
  </si>
  <si>
    <t>Libro vacío no declara PASS</t>
  </si>
  <si>
    <t>Fixture</t>
  </si>
  <si>
    <t>QA2-02</t>
  </si>
  <si>
    <t>PASS/FAIL/BLOCKED boundaries</t>
  </si>
  <si>
    <t>QA2-03</t>
  </si>
  <si>
    <t>Sin errores de fórmula</t>
  </si>
  <si>
    <t>Reopen scan</t>
  </si>
  <si>
    <t>QA2-04</t>
  </si>
  <si>
    <t>SCHEMA</t>
  </si>
  <si>
    <t>Exports/tablas conservan columnas</t>
  </si>
  <si>
    <t>Reopen</t>
  </si>
  <si>
    <t>QA3-01</t>
  </si>
  <si>
    <t>ROUND_TRIP</t>
  </si>
  <si>
    <t>Export/reimport exitoso</t>
  </si>
  <si>
    <t>Excel reopen</t>
  </si>
  <si>
    <t>QA3-02</t>
  </si>
  <si>
    <t>VISUAL</t>
  </si>
  <si>
    <t>Todas las hojas renderizadas</t>
  </si>
  <si>
    <t>PNG/PDF</t>
  </si>
  <si>
    <t>QA3-03</t>
  </si>
  <si>
    <t>Revisión humana sin defectos severos</t>
  </si>
  <si>
    <t>Preview review</t>
  </si>
  <si>
    <t>QA3-04</t>
  </si>
  <si>
    <t>HASH</t>
  </si>
  <si>
    <t>SHA-256 final guardado</t>
  </si>
  <si>
    <t>.sha256 sidecar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</si>
</sst>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E7E6E6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8" borderId="0" xfId="0" applyFill="1"/>
    <xf numFmtId="0" fontId="0" fillId="8" borderId="1" xfId="0" applyFill="1" applyBorder="1"/>
    <xf numFmtId="0" fontId="0" fillId="0" borderId="0" xfId="0" applyAlignment="1">
      <alignment wrapText="1"/>
    </xf>
    <xf numFmtId="0" fontId="0" fillId="8" borderId="2" xfId="0" applyFill="1" applyBorder="1"/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5" borderId="5" xfId="0" applyFill="1" applyBorder="1"/>
    <xf numFmtId="0" fontId="2" fillId="4" borderId="6" xfId="0" applyFont="1" applyFill="1" applyBorder="1" applyAlignment="1">
      <alignment horizontal="center" vertical="center" wrapText="1"/>
    </xf>
    <xf numFmtId="0" fontId="0" fillId="8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8" borderId="5" xfId="0" applyFill="1" applyBorder="1"/>
    <xf numFmtId="0" fontId="0" fillId="8" borderId="8" xfId="0" applyFill="1" applyBorder="1"/>
    <xf numFmtId="0" fontId="0" fillId="8" borderId="9" xfId="0" applyFill="1" applyBorder="1"/>
    <xf numFmtId="0" fontId="0" fillId="5" borderId="2" xfId="0" applyFill="1" applyBorder="1"/>
    <xf numFmtId="0" fontId="0" fillId="5" borderId="7" xfId="0" applyFill="1" applyBorder="1"/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204">
    <dxf>
      <font>
        <b/>
        <i val="0"/>
      </font>
      <fill>
        <patternFill>
          <bgColor rgb="FFF4CCCC"/>
        </patternFill>
      </fill>
    </dxf>
    <dxf>
      <font>
        <b/>
        <i val="0"/>
      </font>
      <fill>
        <patternFill>
          <bgColor rgb="FFFCE5CD"/>
        </patternFill>
      </fill>
    </dxf>
    <dxf>
      <font>
        <b/>
        <i val="0"/>
      </font>
      <fill>
        <patternFill>
          <bgColor rgb="FFF4CCCC"/>
        </patternFill>
      </fill>
    </dxf>
    <dxf>
      <font>
        <b/>
        <i val="0"/>
      </font>
      <fill>
        <patternFill>
          <bgColor rgb="FFE2F0D9"/>
        </patternFill>
      </fill>
    </dxf>
    <dxf>
      <font>
        <b/>
        <i val="0"/>
      </font>
      <fill>
        <patternFill>
          <bgColor rgb="FFF4CCCC"/>
        </patternFill>
      </fill>
    </dxf>
    <dxf>
      <font>
        <b/>
        <i val="0"/>
      </font>
      <fill>
        <patternFill>
          <bgColor rgb="FFFCE5CD"/>
        </patternFill>
      </fill>
    </dxf>
    <dxf>
      <font>
        <b/>
        <i val="0"/>
      </font>
      <fill>
        <patternFill>
          <bgColor rgb="FFF4CCCC"/>
        </patternFill>
      </fill>
    </dxf>
    <dxf>
      <font>
        <b/>
        <i val="0"/>
      </font>
      <fill>
        <patternFill>
          <bgColor rgb="FFE2F0D9"/>
        </patternFill>
      </fill>
    </dxf>
    <dxf>
      <font>
        <b/>
        <i val="0"/>
      </font>
      <fill>
        <patternFill>
          <bgColor rgb="FFF4CCCC"/>
        </patternFill>
      </fill>
    </dxf>
    <dxf>
      <font>
        <b/>
        <i val="0"/>
      </font>
      <fill>
        <patternFill>
          <bgColor rgb="FFFCE5CD"/>
        </patternFill>
      </fill>
    </dxf>
    <dxf>
      <font>
        <b/>
        <i val="0"/>
      </font>
      <fill>
        <patternFill>
          <bgColor rgb="FFF4CCCC"/>
        </patternFill>
      </fill>
    </dxf>
    <dxf>
      <font>
        <b/>
        <i val="0"/>
      </font>
      <fill>
        <patternFill>
          <bgColor rgb="FFE2F0D9"/>
        </patternFill>
      </fill>
    </dxf>
    <dxf>
      <font>
        <b/>
        <i val="0"/>
      </font>
      <fill>
        <patternFill>
          <bgColor rgb="FFF4CCCC"/>
        </patternFill>
      </fill>
    </dxf>
    <dxf>
      <font>
        <b/>
        <i val="0"/>
      </font>
      <fill>
        <patternFill>
          <bgColor rgb="FFFCE5CD"/>
        </patternFill>
      </fill>
    </dxf>
    <dxf>
      <font>
        <b/>
        <i val="0"/>
      </font>
      <fill>
        <patternFill>
          <bgColor rgb="FFF4CCCC"/>
        </patternFill>
      </fill>
    </dxf>
    <dxf>
      <font>
        <b/>
        <i val="0"/>
      </font>
      <fill>
        <patternFill>
          <bgColor rgb="FFE2F0D9"/>
        </patternFill>
      </fill>
    </dxf>
    <dxf>
      <font>
        <b/>
        <i val="0"/>
      </font>
      <fill>
        <patternFill>
          <bgColor rgb="FFF4CCCC"/>
        </patternFill>
      </fill>
    </dxf>
    <dxf>
      <font>
        <b/>
        <i val="0"/>
      </font>
      <fill>
        <patternFill>
          <bgColor rgb="FFFCE5CD"/>
        </patternFill>
      </fill>
    </dxf>
    <dxf>
      <font>
        <b/>
        <i val="0"/>
      </font>
      <fill>
        <patternFill>
          <bgColor rgb="FFF4CCCC"/>
        </patternFill>
      </fill>
    </dxf>
    <dxf>
      <font>
        <b/>
        <i val="0"/>
      </font>
      <fill>
        <patternFill>
          <bgColor rgb="FFE2F0D9"/>
        </patternFill>
      </fill>
    </dxf>
    <dxf>
      <font>
        <b/>
        <i val="0"/>
      </font>
      <fill>
        <patternFill>
          <bgColor rgb="FFF4CCCC"/>
        </patternFill>
      </fill>
    </dxf>
    <dxf>
      <font>
        <b/>
        <i val="0"/>
      </font>
      <fill>
        <patternFill>
          <bgColor rgb="FFFCE5CD"/>
        </patternFill>
      </fill>
    </dxf>
    <dxf>
      <font>
        <b/>
        <i val="0"/>
      </font>
      <fill>
        <patternFill>
          <bgColor rgb="FFF4CCCC"/>
        </patternFill>
      </fill>
    </dxf>
    <dxf>
      <font>
        <b/>
        <i val="0"/>
      </font>
      <fill>
        <patternFill>
          <bgColor rgb="FFE2F0D9"/>
        </patternFill>
      </fill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ill>
        <patternFill patternType="solid">
          <fgColor indexed="64"/>
          <bgColor rgb="FFE7E6E6"/>
        </patternFill>
      </fill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F75B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F75B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F75B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F75B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F75B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F75B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F75B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ill>
        <patternFill patternType="solid">
          <fgColor indexed="64"/>
          <bgColor rgb="FFE7E6E6"/>
        </patternFill>
      </fill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F75B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F75B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left style="thin">
          <color rgb="FFCBD5E1"/>
        </left>
        <top style="thin">
          <color rgb="FFCBD5E1"/>
        </top>
      </border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F75B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E7E6E6"/>
        </patternFill>
      </fill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ill>
        <patternFill patternType="solid">
          <fgColor indexed="64"/>
          <bgColor rgb="FFE7E6E6"/>
        </patternFill>
      </fill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F75B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8DA8B4-5126-4DEA-8CE7-1035179A9CF7}" name="SessionTable" displayName="SessionTable" ref="A4:D26" totalsRowShown="0" headerRowDxfId="193" headerRowBorderDxfId="192" tableBorderDxfId="191">
  <autoFilter ref="A4:D26" xr:uid="{328DA8B4-5126-4DEA-8CE7-1035179A9CF7}"/>
  <tableColumns count="4">
    <tableColumn id="1" xr3:uid="{4E374BB2-A08E-4550-8E2D-4953821EBFB8}" name="Campo" dataDxfId="190"/>
    <tableColumn id="2" xr3:uid="{E89E6A16-C3CE-4F71-872B-9EBC501ED4DA}" name="Valor" dataDxfId="189"/>
    <tableColumn id="3" xr3:uid="{10E24280-B6DF-45F6-A230-62BC56C3871C}" name="Guía" dataDxfId="188"/>
    <tableColumn id="4" xr3:uid="{C01EC45C-7DCC-482F-BCB2-A33B1EAF0FBC}" name="Obligatorio" dataDxfId="18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A83B6C-A239-47FF-95CF-5CCA1A136CBF}" name="ChangesTable" displayName="ChangesTable" ref="A4:I34" totalsRowShown="0" headerRowDxfId="186" dataDxfId="184" headerRowBorderDxfId="185" tableBorderDxfId="183" totalsRowBorderDxfId="182">
  <autoFilter ref="A4:I34" xr:uid="{80A83B6C-A239-47FF-95CF-5CCA1A136CBF}"/>
  <tableColumns count="9">
    <tableColumn id="1" xr3:uid="{760E349E-5B37-495E-9174-1B6CB08D561C}" name="ChangeId" dataDxfId="181"/>
    <tableColumn id="2" xr3:uid="{26A35ACE-BB62-4E07-A8F1-ABEFE0A3903A}" name="TimestampLocal" dataDxfId="180"/>
    <tableColumn id="3" xr3:uid="{100BA9BC-69FF-4CF7-9D56-068817111295}" name="FromRevision" dataDxfId="179"/>
    <tableColumn id="4" xr3:uid="{47EFC471-47B7-47CD-A34A-5D55E514BDDF}" name="ToRevision" dataDxfId="178"/>
    <tableColumn id="5" xr3:uid="{414D23AB-FF5A-4BDF-9D17-BDE7E7A72AC4}" name="Category" dataDxfId="177"/>
    <tableColumn id="6" xr3:uid="{70803D38-8F25-41A8-ACB8-482266CCDFCA}" name="Before" dataDxfId="176"/>
    <tableColumn id="7" xr3:uid="{477193EB-B5E4-4D30-B1A9-EFB56393546F}" name="After" dataDxfId="175"/>
    <tableColumn id="8" xr3:uid="{0EAEFEF5-1FFE-4E63-8B3D-0E8E7FE1CE00}" name="AppliesFromAttemptId" dataDxfId="174"/>
    <tableColumn id="9" xr3:uid="{7FFF8EA1-6ADD-4182-9F9F-FC8EE50FAC9C}" name="Reason" dataDxfId="17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849CE1-CE84-439C-9EF0-F9BF3E943857}" name="ConfigTable" displayName="ConfigTable" ref="A4:E12" totalsRowShown="0" headerRowDxfId="172" dataDxfId="170" headerRowBorderDxfId="171" tableBorderDxfId="169" totalsRowBorderDxfId="168">
  <autoFilter ref="A4:E12" xr:uid="{93849CE1-CE84-439C-9EF0-F9BF3E943857}"/>
  <tableColumns count="5">
    <tableColumn id="1" xr3:uid="{299E4287-5F6E-47E6-88CD-95F37C801E74}" name="Key" dataDxfId="167"/>
    <tableColumn id="2" xr3:uid="{5D5FE126-AA6F-4DEE-98BF-1607498F8227}" name="Value" dataDxfId="166"/>
    <tableColumn id="3" xr3:uid="{FF9E5DCA-DB76-45F1-8FDC-1F9D424472BC}" name="Unit" dataDxfId="165"/>
    <tableColumn id="4" xr3:uid="{835E682D-F40A-42A2-AF95-26B8980B72E0}" name="Source" dataDxfId="164"/>
    <tableColumn id="5" xr3:uid="{72662DD9-8FB4-443A-B6DC-D9D0E550201B}" name="Purpose" dataDxfId="16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03D3EA-3E50-40A7-8541-ECD07CB26C10}" name="Mp03ConfigTable" displayName="Mp03ConfigTable" ref="A4:H18" totalsRowShown="0" headerRowDxfId="162" dataDxfId="160" headerRowBorderDxfId="161" tableBorderDxfId="159" totalsRowBorderDxfId="158">
  <autoFilter ref="A4:H18" xr:uid="{2D03D3EA-3E50-40A7-8541-ECD07CB26C10}"/>
  <tableColumns count="8">
    <tableColumn id="1" xr3:uid="{5D96F448-B38E-403B-B32A-D40F8829A6E1}" name="TestId" dataDxfId="157"/>
    <tableColumn id="2" xr3:uid="{A8B55A43-14AF-4F1A-880A-45F61F7227ED}" name="Item" dataDxfId="156"/>
    <tableColumn id="3" xr3:uid="{42260123-8C06-4EF3-8D96-ABB4AA8A64AF}" name="Expected" dataDxfId="155"/>
    <tableColumn id="4" xr3:uid="{0C164359-AAD7-48C9-8F53-968AED3242C8}" name="Observed" dataDxfId="154"/>
    <tableColumn id="5" xr3:uid="{A6F4D424-7FA5-4DFB-85AE-6486B124772C}" name="EvidenceRef" dataDxfId="153"/>
    <tableColumn id="6" xr3:uid="{6BD8DD79-2D80-430A-9879-6785B2E2003C}" name="Status" dataDxfId="152"/>
    <tableColumn id="7" xr3:uid="{D29197E9-45CB-4230-96A9-61E3225D2EC8}" name="AbortReason" dataDxfId="151"/>
    <tableColumn id="8" xr3:uid="{55E5427F-65B0-40F1-B73F-1DF184F680D3}" name="Notes" dataDxfId="15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CB3524-72A9-4EFC-A935-014D57EBB994}" name="LifecycleTable" displayName="LifecycleTable" ref="A4:N9" totalsRowShown="0" headerRowDxfId="149" dataDxfId="147" headerRowBorderDxfId="148" tableBorderDxfId="146" totalsRowBorderDxfId="145">
  <autoFilter ref="A4:N9" xr:uid="{37CB3524-72A9-4EFC-A935-014D57EBB994}"/>
  <tableColumns count="14">
    <tableColumn id="1" xr3:uid="{A097F68B-BDF0-49A9-87CF-B44C8EAA0DFB}" name="TestId" dataDxfId="144"/>
    <tableColumn id="2" xr3:uid="{E8B1A59D-7A2B-4377-97BF-FE328F768FA7}" name="Cycle" dataDxfId="143"/>
    <tableColumn id="3" xr3:uid="{85B92009-A03A-4C28-8E80-AFEE761B68FC}" name="ConfigRevision" dataDxfId="142"/>
    <tableColumn id="4" xr3:uid="{F4DB1111-1018-4B52-A559-6C40F88D7955}" name="Init" dataDxfId="141"/>
    <tableColumn id="5" xr3:uid="{F69039C4-A1A5-4A24-8F0F-E852145234FF}" name="Start" dataDxfId="140"/>
    <tableColumn id="6" xr3:uid="{49B6DB7B-FCDB-448A-9331-D6564DD978D3}" name="Stop" dataDxfId="139"/>
    <tableColumn id="7" xr3:uid="{D3ABE137-34D8-4DFE-8A71-2927C6A62997}" name="Connected" dataDxfId="138"/>
    <tableColumn id="8" xr3:uid="{041EBCD2-0720-4B5C-B436-9AA0DB698DB6}" name="PipelineObserved" dataDxfId="137"/>
    <tableColumn id="9" xr3:uid="{CF25F118-C7E1-4355-9E44-5469AE07E9CE}" name="Exception" dataDxfId="136"/>
    <tableColumn id="10" xr3:uid="{C436B44C-61E3-47B8-9010-EDB890A4DD69}" name="ResourceOpenAfterStop" dataDxfId="135"/>
    <tableColumn id="11" xr3:uid="{71E2BFF1-9478-417E-9B42-AF2A685AC253}" name="AnyMovement" dataDxfId="134"/>
    <tableColumn id="12" xr3:uid="{0BBF0F57-D1EC-4601-BD73-5DE03D2E2F2E}" name="EvidenceRef" dataDxfId="133"/>
    <tableColumn id="13" xr3:uid="{EAAB8B62-8A5C-471B-8BA5-A37E0B757AFF}" name="Status" dataDxfId="132">
      <calculatedColumnFormula>IF(COUNTA(D5:K5)=0,"NOT_RUN",IF(OR(K5="YES",I5="YES",J5="YES"),"FAIL",IF(AND(D5="YES",E5="YES",F5="YES",G5="YES",H5=0,I5="NO",J5="NO",K5="NO"),"PASS","BLOCKED")))</calculatedColumnFormula>
    </tableColumn>
    <tableColumn id="14" xr3:uid="{A4493B4F-CD35-4A52-A70F-CC7E4FB4B5E9}" name="Notes" dataDxfId="13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93CB3A-C963-4392-880E-3AB3B196D707}" name="TagObservationsTable" displayName="TagObservationsTable" ref="A4:V44" totalsRowShown="0" headerRowDxfId="130" dataDxfId="128" headerRowBorderDxfId="129" tableBorderDxfId="127" totalsRowBorderDxfId="126">
  <autoFilter ref="A4:V44" xr:uid="{7693CB3A-C963-4392-880E-3AB3B196D707}"/>
  <tableColumns count="22">
    <tableColumn id="1" xr3:uid="{DF6FFCE5-0B4B-4692-9C56-0AD7C7B1C697}" name="AttemptId" dataDxfId="125"/>
    <tableColumn id="2" xr3:uid="{D7143F87-C01D-417D-83CC-09735CDFD2A3}" name="ConfigRevision" dataDxfId="124"/>
    <tableColumn id="3" xr3:uid="{A25C9293-C5B9-4451-AEF5-AE7991600AA5}" name="TagId" dataDxfId="123"/>
    <tableColumn id="4" xr3:uid="{6A611824-989A-4DE4-A560-E2E427F1FF18}" name="Alliance" dataDxfId="122"/>
    <tableColumn id="5" xr3:uid="{7223A5AE-9FF2-4659-84BC-F8EC692BFAFF}" name="ExpectedTag" dataDxfId="121"/>
    <tableColumn id="6" xr3:uid="{54B790CA-C527-4665-9A72-8458C0B6C9FE}" name="TxDeg" dataDxfId="120"/>
    <tableColumn id="7" xr3:uid="{7F5F616C-04FF-4508-91A4-CA6F53C09D06}" name="TyDeg" dataDxfId="119"/>
    <tableColumn id="8" xr3:uid="{EA8B06D8-E356-446B-BB98-736462800A70}" name="AreaPct" dataDxfId="118"/>
    <tableColumn id="9" xr3:uid="{51A67A59-6EF0-4070-8E8E-F628FF5DF4A4}" name="StalenessMs" dataDxfId="117"/>
    <tableColumn id="10" xr3:uid="{8625C98E-20B2-4B3F-A4B0-31750FA3F97F}" name="TargetLatencyMs" dataDxfId="116"/>
    <tableColumn id="11" xr3:uid="{F5D47D1B-6E2D-47E9-90E5-35A0C41D131B}" name="CaptureLatencyMs" dataDxfId="115"/>
    <tableColumn id="12" xr3:uid="{9D0E879D-726B-4878-9F9E-8FDD40CFB6BB}" name="TotalLatencyMs" dataDxfId="114"/>
    <tableColumn id="13" xr3:uid="{BD0FF9B7-263D-4DC3-88A4-C00798A0283D}" name="TagCount" dataDxfId="113"/>
    <tableColumn id="14" xr3:uid="{49FA3C6B-4705-4DAC-9ADB-2B9DE2EA9F65}" name="BotPoseAvailable" dataDxfId="112"/>
    <tableColumn id="15" xr3:uid="{CC275248-394A-4856-B9F3-4A0F711BF256}" name="BotX" dataDxfId="111"/>
    <tableColumn id="16" xr3:uid="{632CF2F6-60D7-44E9-8514-8C9EC2B9E00C}" name="BotY" dataDxfId="110"/>
    <tableColumn id="17" xr3:uid="{F653E284-FBEC-4692-AE6F-98C2AC0D368D}" name="BotZ" dataDxfId="109"/>
    <tableColumn id="18" xr3:uid="{B1837CC0-21EC-4EFC-AAB1-B548CCF37CFD}" name="BotYawDeg" dataDxfId="108"/>
    <tableColumn id="19" xr3:uid="{CCF141F1-B5C4-4C9B-9D02-96E53A9C326E}" name="Finite" dataDxfId="107"/>
    <tableColumn id="20" xr3:uid="{1CEC010A-4669-4F48-BA8B-DCAD68098CA6}" name="Quality" dataDxfId="106"/>
    <tableColumn id="21" xr3:uid="{FA7494BE-C41D-471C-B1F5-E58DC6C4ECE3}" name="RejectionReason" dataDxfId="105"/>
    <tableColumn id="22" xr3:uid="{1C5A8975-36EB-4180-9FB5-6DD797EA13D4}" name="EvidenceRef" dataDxfId="10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670A058-808A-47C2-BD05-CF556DAE55BD}" name="FaultsTable" displayName="FaultsTable" ref="A4:L12" totalsRowShown="0" headerRowDxfId="103" dataDxfId="101" headerRowBorderDxfId="102" tableBorderDxfId="100" totalsRowBorderDxfId="99">
  <autoFilter ref="A4:L12" xr:uid="{E670A058-808A-47C2-BD05-CF556DAE55BD}"/>
  <tableColumns count="12">
    <tableColumn id="1" xr3:uid="{505FF981-1155-4877-B167-9D282FD314DD}" name="TestId" dataDxfId="98"/>
    <tableColumn id="2" xr3:uid="{DEC43201-81DF-46E7-B712-9DE8E3472174}" name="Case" dataDxfId="97"/>
    <tableColumn id="3" xr3:uid="{3755F48A-BC88-4EB6-A56B-C6D6396397C1}" name="ExpectedQuality" dataDxfId="96"/>
    <tableColumn id="4" xr3:uid="{B91C50A3-D972-4628-B406-90F598A245C7}" name="ObservedQuality" dataDxfId="95"/>
    <tableColumn id="5" xr3:uid="{1194391C-EA8B-41AD-9203-ADFC7B483812}" name="ActionableValuesZero" dataDxfId="94"/>
    <tableColumn id="6" xr3:uid="{F98945EB-0C0B-468D-B27F-4D5060F805AC}" name="AnyMovement" dataDxfId="93"/>
    <tableColumn id="7" xr3:uid="{BFD6791B-A158-486D-9F51-CA22D567E46F}" name="Exception" dataDxfId="92"/>
    <tableColumn id="8" xr3:uid="{85BA21B0-C68A-4DF1-AA8D-F50133F94245}" name="Recovered" dataDxfId="91"/>
    <tableColumn id="9" xr3:uid="{84771248-E5E8-4854-B300-E2417153CB66}" name="EvidenceRef" dataDxfId="90"/>
    <tableColumn id="10" xr3:uid="{A46628C9-8419-4A98-BD1C-5F629AAEAC1E}" name="Status" dataDxfId="89">
      <calculatedColumnFormula>IF(COUNTA(D5:I5)=0,"NOT_RUN",IF(OR(E5&lt;&gt;"YES",F5&lt;&gt;"NO",G5&lt;&gt;"NO"),"FAIL",IF(AND(D5&lt;&gt;"",H5="YES",I5&lt;&gt;""),"PASS","BLOCKED")))</calculatedColumnFormula>
    </tableColumn>
    <tableColumn id="11" xr3:uid="{0EFE42C6-4522-4ACA-91DC-EBB05E7696EC}" name="AbortReason" dataDxfId="88"/>
    <tableColumn id="12" xr3:uid="{64E2EDF5-CC4C-42FF-BC89-8D43469438F2}" name="Notes" dataDxfId="8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A3D435E-26F3-42E1-A04E-44DAA075FC2B}" name="StaticPoseTable" displayName="StaticPoseTable" ref="A4:Q24" totalsRowShown="0" headerRowDxfId="86" dataDxfId="84" headerRowBorderDxfId="85" tableBorderDxfId="83" totalsRowBorderDxfId="82">
  <autoFilter ref="A4:Q24" xr:uid="{1A3D435E-26F3-42E1-A04E-44DAA075FC2B}"/>
  <tableColumns count="17">
    <tableColumn id="1" xr3:uid="{E40CD588-45C5-4EFC-B83F-2CFFCDE71F4A}" name="AttemptId" dataDxfId="81"/>
    <tableColumn id="2" xr3:uid="{033A677D-0EED-4DC9-A29B-B5350CB874A2}" name="ConfigRevision" dataDxfId="80"/>
    <tableColumn id="3" xr3:uid="{024294EA-3DB3-4400-98C1-E7BEE6761693}" name="TagId" dataDxfId="79"/>
    <tableColumn id="4" xr3:uid="{E181FB09-1E79-4DBC-ACED-C063B8BF05AB}" name="PhysicalXIn" dataDxfId="78"/>
    <tableColumn id="5" xr3:uid="{3CD9294B-06E2-424A-873E-50DA92736DB1}" name="PhysicalYIn" dataDxfId="77"/>
    <tableColumn id="6" xr3:uid="{1DBDF2C2-FEA0-468C-98BE-9A24BCC2A701}" name="PhysicalHeadingDeg" dataDxfId="76"/>
    <tableColumn id="7" xr3:uid="{4FC079EF-EC03-4BBD-82D9-61EEEE68AA0F}" name="LimelightXIn" dataDxfId="75"/>
    <tableColumn id="8" xr3:uid="{80C37CC9-7DD0-4725-8D7C-22CD11884D24}" name="LimelightYIn" dataDxfId="74"/>
    <tableColumn id="9" xr3:uid="{CAA259E6-8F85-4A3A-A296-E745122C54F9}" name="LimelightHeadingDeg" dataDxfId="73"/>
    <tableColumn id="10" xr3:uid="{4D6E5BDB-03BA-40E1-8C52-EE7DAFC9F2E3}" name="ResidualXIn" dataDxfId="72">
      <calculatedColumnFormula>IF(OR(D5="",G5=""),"",G5-D5)</calculatedColumnFormula>
    </tableColumn>
    <tableColumn id="11" xr3:uid="{A858980C-5341-4C89-A921-CA97DBE2774B}" name="ResidualYIn" dataDxfId="71">
      <calculatedColumnFormula>IF(OR(E5="",H5=""),"",H5-E5)</calculatedColumnFormula>
    </tableColumn>
    <tableColumn id="12" xr3:uid="{6BC9F9B7-9996-4EC6-B326-494592EEBDDE}" name="ResidualDistanceIn" dataDxfId="70">
      <calculatedColumnFormula>IF(OR(J5="",K5=""),"",SQRT(J5^2+K5^2))</calculatedColumnFormula>
    </tableColumn>
    <tableColumn id="13" xr3:uid="{8FBBFF85-EBCC-4972-BC49-7A49C6CA2B7E}" name="ResidualHeadingDeg" dataDxfId="69">
      <calculatedColumnFormula>IF(OR(F5="",I5=""),"",MOD(I5-F5+180,360)-180)</calculatedColumnFormula>
    </tableColumn>
    <tableColumn id="14" xr3:uid="{DF4F651A-04E9-46EF-86CF-5DFB0CF77D29}" name="StalenessMs" dataDxfId="68"/>
    <tableColumn id="15" xr3:uid="{1D767253-9687-4F3D-9ED1-2F652BDC6C0A}" name="EvidenceRef" dataDxfId="67"/>
    <tableColumn id="16" xr3:uid="{53FD1ADC-7160-4795-BCF2-A9C6B4FD2300}" name="Status" dataDxfId="66"/>
    <tableColumn id="17" xr3:uid="{1901D9E0-3C72-4AC7-ABD2-0E23665F14E3}" name="Notes" dataDxfId="6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7C58486-8945-486A-81A9-B92E6B9FC3C1}" name="ShotDatasetTable" displayName="ShotDatasetTable" ref="A4:V64" totalsRowShown="0" headerRowDxfId="64" dataDxfId="62" headerRowBorderDxfId="63" tableBorderDxfId="61" totalsRowBorderDxfId="60">
  <autoFilter ref="A4:V64" xr:uid="{57C58486-8945-486A-81A9-B92E6B9FC3C1}"/>
  <tableColumns count="22">
    <tableColumn id="1" xr3:uid="{AAB854D2-63E8-41BC-9A51-25F7760E1D21}" name="sessionId" dataDxfId="59"/>
    <tableColumn id="2" xr3:uid="{539B3F71-BFC9-4755-8501-5278BB93496A}" name="distanceGroupId" dataDxfId="58"/>
    <tableColumn id="3" xr3:uid="{D36C359D-EBE7-4B03-B003-5FC0E5E277E2}" name="modelKind" dataDxfId="57"/>
    <tableColumn id="4" xr3:uid="{623FFC47-467C-4988-BBED-194EA0F9A9A2}" name="role" dataDxfId="56"/>
    <tableColumn id="5" xr3:uid="{8C8BF72E-418D-4A1A-B627-E81DA2DB43B2}" name="distanceInches" dataDxfId="55"/>
    <tableColumn id="6" xr3:uid="{D2905BFE-6CB5-4EB3-B2E6-E1D724EB982A}" name="targetRpm" dataDxfId="54"/>
    <tableColumn id="7" xr3:uid="{9047849F-717A-4613-8FD4-2266EC0B4CC2}" name="measuredRpmAtFeed" dataDxfId="53"/>
    <tableColumn id="8" xr3:uid="{9995E732-5210-4DFF-BFDB-97153F684C23}" name="rpmReadyHoldMs" dataDxfId="52"/>
    <tableColumn id="9" xr3:uid="{E8D9E330-4175-4DDF-B193-CFFA06F2A244}" name="outcome" dataDxfId="51"/>
    <tableColumn id="10" xr3:uid="{CA0410CD-87B8-4BAB-B13A-66C688448778}" name="AttemptId" dataDxfId="50"/>
    <tableColumn id="11" xr3:uid="{AE53FC76-398D-4FDA-8776-93F1790C1678}" name="ConfigRevision" dataDxfId="49"/>
    <tableColumn id="12" xr3:uid="{730886EF-4367-4362-B7A5-27F0FE51FFC9}" name="Position" dataDxfId="48"/>
    <tableColumn id="13" xr3:uid="{D5ED259A-063E-4FC6-B486-22646333CCAE}" name="BatteryId" dataDxfId="47"/>
    <tableColumn id="14" xr3:uid="{3398F54E-AC36-43B9-A684-EADE90037158}" name="FusedXIn" dataDxfId="46"/>
    <tableColumn id="15" xr3:uid="{79A7A267-250E-4EFB-98E6-977808A2EDC3}" name="FusedYIn" dataDxfId="45"/>
    <tableColumn id="16" xr3:uid="{980F97FE-322E-4B9A-A679-4CA4D699EED9}" name="FusedHeadingDeg" dataDxfId="44"/>
    <tableColumn id="17" xr3:uid="{AE920020-BB08-4C55-8D35-F6CABAA14707}" name="TurretErrorDeg" dataDxfId="43"/>
    <tableColumn id="18" xr3:uid="{12AF8F88-0547-4554-9ABE-4B44CB122D80}" name="ArtifactBatch" dataDxfId="42"/>
    <tableColumn id="19" xr3:uid="{4B292977-890B-493C-9F2A-308F8EF06BD0}" name="EvidenceRef" dataDxfId="41"/>
    <tableColumn id="20" xr3:uid="{3979B218-2623-4600-A5C2-3F08D86DE418}" name="Notes" dataDxfId="40"/>
    <tableColumn id="21" xr3:uid="{2D2A8CD0-D219-4C9B-A11E-71F47E515799}" name="RpmError" dataDxfId="39">
      <calculatedColumnFormula>IF(OR(F5="",G5=""),"",ABS(G5-F5))</calculatedColumnFormula>
    </tableColumn>
    <tableColumn id="22" xr3:uid="{3823B550-031F-4D0F-A77E-CFBDB28EA42D}" name="ReadyGate" dataDxfId="3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E437DD8-EE4F-42F2-97F6-6EE56732202F}" name="ShotDatasetExportTable" displayName="ShotDatasetExportTable" ref="A4:I64" totalsRowShown="0" headerRowDxfId="37" dataDxfId="35" headerRowBorderDxfId="36" tableBorderDxfId="34" totalsRowBorderDxfId="33">
  <autoFilter ref="A4:I64" xr:uid="{0E437DD8-EE4F-42F2-97F6-6EE56732202F}"/>
  <tableColumns count="9">
    <tableColumn id="1" xr3:uid="{520D64D1-103D-449E-A77B-C746B1691D6B}" name="#sessionId" dataDxfId="32">
      <calculatedColumnFormula>IF(SHOT_DATASET!A5="","",SHOT_DATASET!A5)</calculatedColumnFormula>
    </tableColumn>
    <tableColumn id="2" xr3:uid="{EB90A967-16F6-44F6-B14E-FF1AC91C03A2}" name="distanceGroupId" dataDxfId="31">
      <calculatedColumnFormula>IF(SHOT_DATASET!A5="","",SHOT_DATASET!B5)</calculatedColumnFormula>
    </tableColumn>
    <tableColumn id="3" xr3:uid="{0C9318F1-DB47-416B-9172-4C90AACCE4EC}" name="modelKind" dataDxfId="30">
      <calculatedColumnFormula>IF(SHOT_DATASET!A5="","",SHOT_DATASET!C5)</calculatedColumnFormula>
    </tableColumn>
    <tableColumn id="4" xr3:uid="{10AA640B-BCB3-45CD-B1B4-005B8CDD5281}" name="role" dataDxfId="29">
      <calculatedColumnFormula>IF(SHOT_DATASET!A5="","",SHOT_DATASET!D5)</calculatedColumnFormula>
    </tableColumn>
    <tableColumn id="5" xr3:uid="{B50D371C-CD51-4E59-8A1D-F0E43C7F555D}" name="distanceInches" dataDxfId="28">
      <calculatedColumnFormula>IF(SHOT_DATASET!A5="","",SHOT_DATASET!E5)</calculatedColumnFormula>
    </tableColumn>
    <tableColumn id="6" xr3:uid="{CFAEDEA8-CC3A-43E8-8DCE-2B2172BDC5E0}" name="targetRpm" dataDxfId="27">
      <calculatedColumnFormula>IF(SHOT_DATASET!A5="","",SHOT_DATASET!F5)</calculatedColumnFormula>
    </tableColumn>
    <tableColumn id="7" xr3:uid="{A36280BF-59EE-471B-91AE-F0968BD47029}" name="measuredRpmAtFeed" dataDxfId="26">
      <calculatedColumnFormula>IF(SHOT_DATASET!A5="","",SHOT_DATASET!G5)</calculatedColumnFormula>
    </tableColumn>
    <tableColumn id="8" xr3:uid="{1FAE5EAF-D58C-4F60-934D-C2A6419B5115}" name="rpmReadyHoldMs" dataDxfId="25">
      <calculatedColumnFormula>IF(SHOT_DATASET!A5="","",SHOT_DATASET!H5)</calculatedColumnFormula>
    </tableColumn>
    <tableColumn id="9" xr3:uid="{D3BAA08F-299A-4813-9CBF-9FA03B6F71AB}" name="outcome" dataDxfId="24">
      <calculatedColumnFormula>IF(SHOT_DATASET!A5="","",SHOT_DATASET!I5)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0AB5C59-B718-4E9C-96EE-B1068C44E38C}" name="QaTable" displayName="QaTable" ref="A4:E15" totalsRowShown="0" headerRowDxfId="203" dataDxfId="201" headerRowBorderDxfId="202" tableBorderDxfId="200" totalsRowBorderDxfId="199">
  <autoFilter ref="A4:E15" xr:uid="{D0AB5C59-B718-4E9C-96EE-B1068C44E38C}"/>
  <tableColumns count="5">
    <tableColumn id="1" xr3:uid="{338708CB-4FC1-4A08-9E76-2DAB8ACDD10F}" name="CheckId" dataDxfId="198"/>
    <tableColumn id="2" xr3:uid="{6A16F71C-E416-42F6-A35C-466C5F10D296}" name="Layer" dataDxfId="197"/>
    <tableColumn id="3" xr3:uid="{257E3E6A-9B8F-462D-9619-0269B9C73D61}" name="Check" dataDxfId="196"/>
    <tableColumn id="4" xr3:uid="{82992641-3DAC-4AB6-A9FB-793CD453BE18}" name="Status" dataDxfId="195"/>
    <tableColumn id="5" xr3:uid="{81069709-BCE5-4999-A21B-F40327DBB671}" name="Evidence" dataDxfId="19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7FEEC-D098-466C-B330-93691779503F}">
  <dimension ref="A1:H20"/>
  <sheetViews>
    <sheetView showGridLines="0" workbookViewId="0">
      <selection sqref="A1:H1"/>
    </sheetView>
  </sheetViews>
  <sheetFormatPr baseColWidth="10" defaultRowHeight="14.4" x14ac:dyDescent="0.3"/>
  <cols>
    <col min="1" max="1" width="36.77734375" customWidth="1"/>
    <col min="2" max="2" width="78.77734375" customWidth="1"/>
  </cols>
  <sheetData>
    <row r="1" spans="1:8" ht="30" customHeight="1" x14ac:dyDescent="0.3">
      <c r="A1" s="19" t="s">
        <v>0</v>
      </c>
      <c r="B1" s="19"/>
      <c r="C1" s="19"/>
      <c r="D1" s="19"/>
      <c r="E1" s="19"/>
      <c r="F1" s="19"/>
      <c r="G1" s="19"/>
      <c r="H1" s="19"/>
    </row>
    <row r="2" spans="1:8" ht="36" customHeight="1" x14ac:dyDescent="0.3">
      <c r="A2" s="20" t="s">
        <v>1</v>
      </c>
      <c r="B2" s="20"/>
      <c r="C2" s="20"/>
      <c r="D2" s="20"/>
      <c r="E2" s="20"/>
      <c r="F2" s="20"/>
      <c r="G2" s="20"/>
      <c r="H2" s="20"/>
    </row>
    <row r="4" spans="1:8" ht="31.95" customHeight="1" x14ac:dyDescent="0.3">
      <c r="A4" s="21" t="s">
        <v>2</v>
      </c>
      <c r="B4" s="21"/>
      <c r="C4" s="21"/>
      <c r="D4" s="21"/>
      <c r="E4" s="21"/>
      <c r="F4" s="21"/>
      <c r="G4" s="21"/>
      <c r="H4" s="21"/>
    </row>
    <row r="5" spans="1:8" x14ac:dyDescent="0.3">
      <c r="A5" s="2">
        <v>1</v>
      </c>
      <c r="B5" s="2" t="s">
        <v>3</v>
      </c>
    </row>
    <row r="6" spans="1:8" x14ac:dyDescent="0.3">
      <c r="A6" s="2">
        <v>2</v>
      </c>
      <c r="B6" s="2" t="s">
        <v>4</v>
      </c>
    </row>
    <row r="7" spans="1:8" x14ac:dyDescent="0.3">
      <c r="A7" s="2">
        <v>3</v>
      </c>
      <c r="B7" s="2" t="s">
        <v>5</v>
      </c>
    </row>
    <row r="8" spans="1:8" x14ac:dyDescent="0.3">
      <c r="A8" s="2">
        <v>4</v>
      </c>
      <c r="B8" s="2" t="s">
        <v>6</v>
      </c>
    </row>
    <row r="9" spans="1:8" x14ac:dyDescent="0.3">
      <c r="A9" s="2">
        <v>5</v>
      </c>
      <c r="B9" s="2" t="s">
        <v>7</v>
      </c>
    </row>
    <row r="10" spans="1:8" x14ac:dyDescent="0.3">
      <c r="A10" s="2">
        <v>6</v>
      </c>
      <c r="B10" s="2" t="s">
        <v>8</v>
      </c>
    </row>
    <row r="11" spans="1:8" x14ac:dyDescent="0.3">
      <c r="A11" s="2">
        <v>7</v>
      </c>
      <c r="B11" s="2" t="s">
        <v>9</v>
      </c>
    </row>
    <row r="12" spans="1:8" x14ac:dyDescent="0.3">
      <c r="A12" s="2">
        <v>8</v>
      </c>
      <c r="B12" s="2" t="s">
        <v>10</v>
      </c>
    </row>
    <row r="14" spans="1:8" x14ac:dyDescent="0.3">
      <c r="A14" s="22" t="s">
        <v>11</v>
      </c>
      <c r="B14" s="22"/>
      <c r="C14" s="22"/>
      <c r="D14" s="22"/>
      <c r="E14" s="22"/>
      <c r="F14" s="22"/>
      <c r="G14" s="22"/>
      <c r="H14" s="22"/>
    </row>
    <row r="15" spans="1:8" x14ac:dyDescent="0.3">
      <c r="A15" s="2" t="s">
        <v>12</v>
      </c>
      <c r="B15" s="2" t="s">
        <v>13</v>
      </c>
    </row>
    <row r="16" spans="1:8" x14ac:dyDescent="0.3">
      <c r="A16" s="2" t="s">
        <v>14</v>
      </c>
      <c r="B16" s="2" t="s">
        <v>15</v>
      </c>
    </row>
    <row r="17" spans="1:8" x14ac:dyDescent="0.3">
      <c r="A17" s="2" t="s">
        <v>16</v>
      </c>
      <c r="B17" s="2" t="s">
        <v>17</v>
      </c>
    </row>
    <row r="18" spans="1:8" x14ac:dyDescent="0.3">
      <c r="A18" s="2" t="s">
        <v>18</v>
      </c>
      <c r="B18" s="2" t="s">
        <v>19</v>
      </c>
    </row>
    <row r="20" spans="1:8" x14ac:dyDescent="0.3">
      <c r="A20" s="23" t="s">
        <v>20</v>
      </c>
      <c r="B20" s="23"/>
      <c r="C20" s="23"/>
      <c r="D20" s="23"/>
      <c r="E20" s="23"/>
      <c r="F20" s="23"/>
      <c r="G20" s="23"/>
      <c r="H20" s="23"/>
    </row>
  </sheetData>
  <mergeCells count="5">
    <mergeCell ref="A1:H1"/>
    <mergeCell ref="A2:H2"/>
    <mergeCell ref="A4:H4"/>
    <mergeCell ref="A14:H14"/>
    <mergeCell ref="A20:H20"/>
  </mergeCells>
  <pageMargins left="0.25" right="0.25" top="0.35" bottom="0.3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0F1D-667E-4122-B74A-2699FA771040}">
  <dimension ref="A1:F26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10" defaultRowHeight="14.4" x14ac:dyDescent="0.3"/>
  <cols>
    <col min="1" max="1" width="26.77734375" customWidth="1"/>
    <col min="2" max="2" width="70.77734375" customWidth="1"/>
    <col min="3" max="3" width="48.77734375" customWidth="1"/>
    <col min="4" max="4" width="18.77734375" customWidth="1"/>
  </cols>
  <sheetData>
    <row r="1" spans="1:6" ht="30" customHeight="1" x14ac:dyDescent="0.3">
      <c r="A1" s="19" t="s">
        <v>21</v>
      </c>
      <c r="B1" s="19"/>
      <c r="C1" s="19"/>
      <c r="D1" s="19"/>
      <c r="E1" s="19"/>
      <c r="F1" s="19"/>
    </row>
    <row r="2" spans="1:6" ht="36" customHeight="1" x14ac:dyDescent="0.3">
      <c r="A2" s="20" t="s">
        <v>22</v>
      </c>
      <c r="B2" s="20"/>
      <c r="C2" s="20"/>
      <c r="D2" s="20"/>
      <c r="E2" s="20"/>
      <c r="F2" s="20"/>
    </row>
    <row r="4" spans="1:6" ht="31.95" customHeight="1" x14ac:dyDescent="0.3">
      <c r="A4" s="7" t="s">
        <v>23</v>
      </c>
      <c r="B4" s="8" t="s">
        <v>24</v>
      </c>
      <c r="C4" s="8" t="s">
        <v>25</v>
      </c>
      <c r="D4" s="8" t="s">
        <v>26</v>
      </c>
    </row>
    <row r="5" spans="1:6" x14ac:dyDescent="0.3">
      <c r="A5" s="6" t="s">
        <v>27</v>
      </c>
      <c r="B5" s="2">
        <v>1</v>
      </c>
      <c r="C5" s="5" t="s">
        <v>28</v>
      </c>
      <c r="D5" s="5"/>
    </row>
    <row r="6" spans="1:6" x14ac:dyDescent="0.3">
      <c r="A6" s="6" t="s">
        <v>29</v>
      </c>
      <c r="B6" s="2">
        <v>1</v>
      </c>
      <c r="C6" s="5" t="s">
        <v>28</v>
      </c>
      <c r="D6" s="5"/>
    </row>
    <row r="7" spans="1:6" x14ac:dyDescent="0.3">
      <c r="A7" s="6" t="s">
        <v>30</v>
      </c>
      <c r="B7" s="2" t="s">
        <v>31</v>
      </c>
      <c r="C7" s="5" t="s">
        <v>28</v>
      </c>
      <c r="D7" s="5"/>
    </row>
    <row r="8" spans="1:6" x14ac:dyDescent="0.3">
      <c r="A8" s="6" t="s">
        <v>32</v>
      </c>
      <c r="B8" s="2">
        <v>1</v>
      </c>
      <c r="C8" s="5" t="s">
        <v>28</v>
      </c>
      <c r="D8" s="5"/>
    </row>
    <row r="9" spans="1:6" ht="28.8" x14ac:dyDescent="0.3">
      <c r="A9" s="6" t="s">
        <v>33</v>
      </c>
      <c r="B9" s="2"/>
      <c r="C9" s="5" t="s">
        <v>34</v>
      </c>
      <c r="D9" s="5" t="s">
        <v>35</v>
      </c>
    </row>
    <row r="10" spans="1:6" ht="28.8" x14ac:dyDescent="0.3">
      <c r="A10" s="6" t="s">
        <v>36</v>
      </c>
      <c r="B10" s="2"/>
      <c r="C10" s="5" t="s">
        <v>37</v>
      </c>
      <c r="D10" s="5" t="s">
        <v>35</v>
      </c>
    </row>
    <row r="11" spans="1:6" x14ac:dyDescent="0.3">
      <c r="A11" s="6" t="s">
        <v>38</v>
      </c>
      <c r="B11" s="2"/>
      <c r="C11" s="5" t="s">
        <v>39</v>
      </c>
      <c r="D11" s="5" t="s">
        <v>35</v>
      </c>
    </row>
    <row r="12" spans="1:6" x14ac:dyDescent="0.3">
      <c r="A12" s="6" t="s">
        <v>40</v>
      </c>
      <c r="B12" s="2"/>
      <c r="C12" s="5"/>
      <c r="D12" s="5" t="s">
        <v>35</v>
      </c>
    </row>
    <row r="13" spans="1:6" x14ac:dyDescent="0.3">
      <c r="A13" s="6" t="s">
        <v>41</v>
      </c>
      <c r="B13" s="2"/>
      <c r="C13" s="5"/>
      <c r="D13" s="5" t="s">
        <v>35</v>
      </c>
    </row>
    <row r="14" spans="1:6" x14ac:dyDescent="0.3">
      <c r="A14" s="6" t="s">
        <v>42</v>
      </c>
      <c r="B14" s="2"/>
      <c r="C14" s="5"/>
      <c r="D14" s="5" t="s">
        <v>35</v>
      </c>
    </row>
    <row r="15" spans="1:6" x14ac:dyDescent="0.3">
      <c r="A15" s="6" t="s">
        <v>43</v>
      </c>
      <c r="B15" s="2"/>
      <c r="C15" s="5"/>
      <c r="D15" s="5" t="s">
        <v>35</v>
      </c>
    </row>
    <row r="16" spans="1:6" x14ac:dyDescent="0.3">
      <c r="A16" s="6" t="s">
        <v>44</v>
      </c>
      <c r="B16" s="2"/>
      <c r="C16" s="5"/>
      <c r="D16" s="5" t="s">
        <v>35</v>
      </c>
    </row>
    <row r="17" spans="1:4" x14ac:dyDescent="0.3">
      <c r="A17" s="6" t="s">
        <v>45</v>
      </c>
      <c r="B17" s="2"/>
      <c r="C17" s="5" t="s">
        <v>46</v>
      </c>
      <c r="D17" s="5" t="s">
        <v>35</v>
      </c>
    </row>
    <row r="18" spans="1:4" x14ac:dyDescent="0.3">
      <c r="A18" s="6" t="s">
        <v>47</v>
      </c>
      <c r="B18" s="2"/>
      <c r="C18" s="5" t="s">
        <v>48</v>
      </c>
      <c r="D18" s="5" t="s">
        <v>35</v>
      </c>
    </row>
    <row r="19" spans="1:4" ht="43.2" x14ac:dyDescent="0.3">
      <c r="A19" s="6" t="s">
        <v>49</v>
      </c>
      <c r="B19" s="2" t="s">
        <v>50</v>
      </c>
      <c r="C19" s="5" t="s">
        <v>51</v>
      </c>
      <c r="D19" s="5" t="s">
        <v>35</v>
      </c>
    </row>
    <row r="20" spans="1:4" x14ac:dyDescent="0.3">
      <c r="A20" s="6" t="s">
        <v>52</v>
      </c>
      <c r="B20" s="2"/>
      <c r="C20" s="5" t="s">
        <v>53</v>
      </c>
      <c r="D20" s="5" t="s">
        <v>35</v>
      </c>
    </row>
    <row r="21" spans="1:4" x14ac:dyDescent="0.3">
      <c r="A21" s="6" t="s">
        <v>54</v>
      </c>
      <c r="B21" s="2"/>
      <c r="C21" s="5"/>
      <c r="D21" s="5" t="s">
        <v>35</v>
      </c>
    </row>
    <row r="22" spans="1:4" x14ac:dyDescent="0.3">
      <c r="A22" s="6" t="s">
        <v>55</v>
      </c>
      <c r="B22" s="2"/>
      <c r="C22" s="5" t="s">
        <v>56</v>
      </c>
      <c r="D22" s="5" t="s">
        <v>35</v>
      </c>
    </row>
    <row r="23" spans="1:4" ht="28.8" x14ac:dyDescent="0.3">
      <c r="A23" s="6" t="s">
        <v>57</v>
      </c>
      <c r="B23" s="2" t="s">
        <v>58</v>
      </c>
      <c r="C23" s="5" t="s">
        <v>59</v>
      </c>
      <c r="D23" s="5" t="s">
        <v>35</v>
      </c>
    </row>
    <row r="24" spans="1:4" x14ac:dyDescent="0.3">
      <c r="A24" s="6" t="s">
        <v>60</v>
      </c>
      <c r="B24" s="2"/>
      <c r="C24" s="5" t="s">
        <v>61</v>
      </c>
      <c r="D24" s="5" t="s">
        <v>35</v>
      </c>
    </row>
    <row r="25" spans="1:4" x14ac:dyDescent="0.3">
      <c r="A25" s="6" t="s">
        <v>62</v>
      </c>
      <c r="B25" s="2"/>
      <c r="C25" s="5"/>
      <c r="D25" s="5"/>
    </row>
    <row r="26" spans="1:4" x14ac:dyDescent="0.3">
      <c r="A26" s="6" t="s">
        <v>63</v>
      </c>
      <c r="B26" s="2"/>
      <c r="C26" s="5"/>
      <c r="D26" s="5"/>
    </row>
  </sheetData>
  <mergeCells count="2">
    <mergeCell ref="A1:F1"/>
    <mergeCell ref="A2:F2"/>
  </mergeCells>
  <pageMargins left="0.25" right="0.25" top="0.35" bottom="0.3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24D9C-2912-4855-8A5B-022C8C0C42CF}">
  <dimension ref="A1:I34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10" defaultColWidth="18.77734375" defaultRowHeight="14.4" x14ac:dyDescent="0.3"/>
  <cols>
    <col min="6" max="7" width="28.77734375" customWidth="1"/>
    <col min="9" max="9" width="40.77734375" customWidth="1"/>
  </cols>
  <sheetData>
    <row r="1" spans="1:9" ht="30" customHeight="1" x14ac:dyDescent="0.3">
      <c r="A1" s="19" t="s">
        <v>64</v>
      </c>
      <c r="B1" s="19"/>
      <c r="C1" s="19"/>
      <c r="D1" s="19"/>
      <c r="E1" s="19"/>
      <c r="F1" s="19"/>
      <c r="G1" s="19"/>
      <c r="H1" s="19"/>
      <c r="I1" s="19"/>
    </row>
    <row r="2" spans="1:9" ht="36" customHeight="1" x14ac:dyDescent="0.3">
      <c r="A2" s="20" t="s">
        <v>65</v>
      </c>
      <c r="B2" s="20"/>
      <c r="C2" s="20"/>
      <c r="D2" s="20"/>
      <c r="E2" s="20"/>
      <c r="F2" s="20"/>
      <c r="G2" s="20"/>
      <c r="H2" s="20"/>
      <c r="I2" s="20"/>
    </row>
    <row r="4" spans="1:9" ht="31.95" customHeight="1" x14ac:dyDescent="0.3">
      <c r="A4" s="7" t="s">
        <v>66</v>
      </c>
      <c r="B4" s="8" t="s">
        <v>67</v>
      </c>
      <c r="C4" s="8" t="s">
        <v>68</v>
      </c>
      <c r="D4" s="8" t="s">
        <v>69</v>
      </c>
      <c r="E4" s="8" t="s">
        <v>70</v>
      </c>
      <c r="F4" s="8" t="s">
        <v>71</v>
      </c>
      <c r="G4" s="8" t="s">
        <v>72</v>
      </c>
      <c r="H4" s="8" t="s">
        <v>73</v>
      </c>
      <c r="I4" s="10" t="s">
        <v>74</v>
      </c>
    </row>
    <row r="5" spans="1:9" x14ac:dyDescent="0.3">
      <c r="A5" s="6" t="s">
        <v>75</v>
      </c>
      <c r="B5" s="2"/>
      <c r="C5" s="2"/>
      <c r="D5" s="2"/>
      <c r="E5" s="2"/>
      <c r="F5" s="2"/>
      <c r="G5" s="2"/>
      <c r="H5" s="2"/>
      <c r="I5" s="9"/>
    </row>
    <row r="6" spans="1:9" x14ac:dyDescent="0.3">
      <c r="A6" s="6" t="s">
        <v>76</v>
      </c>
      <c r="B6" s="2"/>
      <c r="C6" s="2"/>
      <c r="D6" s="2"/>
      <c r="E6" s="2"/>
      <c r="F6" s="2"/>
      <c r="G6" s="2"/>
      <c r="H6" s="2"/>
      <c r="I6" s="9"/>
    </row>
    <row r="7" spans="1:9" x14ac:dyDescent="0.3">
      <c r="A7" s="6" t="s">
        <v>77</v>
      </c>
      <c r="B7" s="2"/>
      <c r="C7" s="2"/>
      <c r="D7" s="2"/>
      <c r="E7" s="2"/>
      <c r="F7" s="2"/>
      <c r="G7" s="2"/>
      <c r="H7" s="2"/>
      <c r="I7" s="9"/>
    </row>
    <row r="8" spans="1:9" x14ac:dyDescent="0.3">
      <c r="A8" s="6" t="s">
        <v>78</v>
      </c>
      <c r="B8" s="2"/>
      <c r="C8" s="2"/>
      <c r="D8" s="2"/>
      <c r="E8" s="2"/>
      <c r="F8" s="2"/>
      <c r="G8" s="2"/>
      <c r="H8" s="2"/>
      <c r="I8" s="9"/>
    </row>
    <row r="9" spans="1:9" x14ac:dyDescent="0.3">
      <c r="A9" s="6" t="s">
        <v>79</v>
      </c>
      <c r="B9" s="2"/>
      <c r="C9" s="2"/>
      <c r="D9" s="2"/>
      <c r="E9" s="2"/>
      <c r="F9" s="2"/>
      <c r="G9" s="2"/>
      <c r="H9" s="2"/>
      <c r="I9" s="9"/>
    </row>
    <row r="10" spans="1:9" x14ac:dyDescent="0.3">
      <c r="A10" s="6" t="s">
        <v>80</v>
      </c>
      <c r="B10" s="2"/>
      <c r="C10" s="2"/>
      <c r="D10" s="2"/>
      <c r="E10" s="2"/>
      <c r="F10" s="2"/>
      <c r="G10" s="2"/>
      <c r="H10" s="2"/>
      <c r="I10" s="9"/>
    </row>
    <row r="11" spans="1:9" x14ac:dyDescent="0.3">
      <c r="A11" s="6" t="s">
        <v>81</v>
      </c>
      <c r="B11" s="2"/>
      <c r="C11" s="2"/>
      <c r="D11" s="2"/>
      <c r="E11" s="2"/>
      <c r="F11" s="2"/>
      <c r="G11" s="2"/>
      <c r="H11" s="2"/>
      <c r="I11" s="9"/>
    </row>
    <row r="12" spans="1:9" x14ac:dyDescent="0.3">
      <c r="A12" s="6" t="s">
        <v>82</v>
      </c>
      <c r="B12" s="2"/>
      <c r="C12" s="2"/>
      <c r="D12" s="2"/>
      <c r="E12" s="2"/>
      <c r="F12" s="2"/>
      <c r="G12" s="2"/>
      <c r="H12" s="2"/>
      <c r="I12" s="9"/>
    </row>
    <row r="13" spans="1:9" x14ac:dyDescent="0.3">
      <c r="A13" s="6" t="s">
        <v>83</v>
      </c>
      <c r="B13" s="2"/>
      <c r="C13" s="2"/>
      <c r="D13" s="2"/>
      <c r="E13" s="2"/>
      <c r="F13" s="2"/>
      <c r="G13" s="2"/>
      <c r="H13" s="2"/>
      <c r="I13" s="9"/>
    </row>
    <row r="14" spans="1:9" x14ac:dyDescent="0.3">
      <c r="A14" s="6" t="s">
        <v>84</v>
      </c>
      <c r="B14" s="2"/>
      <c r="C14" s="2"/>
      <c r="D14" s="2"/>
      <c r="E14" s="2"/>
      <c r="F14" s="2"/>
      <c r="G14" s="2"/>
      <c r="H14" s="2"/>
      <c r="I14" s="9"/>
    </row>
    <row r="15" spans="1:9" x14ac:dyDescent="0.3">
      <c r="A15" s="6" t="s">
        <v>85</v>
      </c>
      <c r="B15" s="2"/>
      <c r="C15" s="2"/>
      <c r="D15" s="2"/>
      <c r="E15" s="2"/>
      <c r="F15" s="2"/>
      <c r="G15" s="2"/>
      <c r="H15" s="2"/>
      <c r="I15" s="9"/>
    </row>
    <row r="16" spans="1:9" x14ac:dyDescent="0.3">
      <c r="A16" s="6" t="s">
        <v>86</v>
      </c>
      <c r="B16" s="2"/>
      <c r="C16" s="2"/>
      <c r="D16" s="2"/>
      <c r="E16" s="2"/>
      <c r="F16" s="2"/>
      <c r="G16" s="2"/>
      <c r="H16" s="2"/>
      <c r="I16" s="9"/>
    </row>
    <row r="17" spans="1:9" x14ac:dyDescent="0.3">
      <c r="A17" s="6" t="s">
        <v>87</v>
      </c>
      <c r="B17" s="2"/>
      <c r="C17" s="2"/>
      <c r="D17" s="2"/>
      <c r="E17" s="2"/>
      <c r="F17" s="2"/>
      <c r="G17" s="2"/>
      <c r="H17" s="2"/>
      <c r="I17" s="9"/>
    </row>
    <row r="18" spans="1:9" x14ac:dyDescent="0.3">
      <c r="A18" s="6" t="s">
        <v>88</v>
      </c>
      <c r="B18" s="2"/>
      <c r="C18" s="2"/>
      <c r="D18" s="2"/>
      <c r="E18" s="2"/>
      <c r="F18" s="2"/>
      <c r="G18" s="2"/>
      <c r="H18" s="2"/>
      <c r="I18" s="9"/>
    </row>
    <row r="19" spans="1:9" x14ac:dyDescent="0.3">
      <c r="A19" s="6" t="s">
        <v>89</v>
      </c>
      <c r="B19" s="2"/>
      <c r="C19" s="2"/>
      <c r="D19" s="2"/>
      <c r="E19" s="2"/>
      <c r="F19" s="2"/>
      <c r="G19" s="2"/>
      <c r="H19" s="2"/>
      <c r="I19" s="9"/>
    </row>
    <row r="20" spans="1:9" x14ac:dyDescent="0.3">
      <c r="A20" s="6" t="s">
        <v>90</v>
      </c>
      <c r="B20" s="2"/>
      <c r="C20" s="2"/>
      <c r="D20" s="2"/>
      <c r="E20" s="2"/>
      <c r="F20" s="2"/>
      <c r="G20" s="2"/>
      <c r="H20" s="2"/>
      <c r="I20" s="9"/>
    </row>
    <row r="21" spans="1:9" x14ac:dyDescent="0.3">
      <c r="A21" s="6" t="s">
        <v>91</v>
      </c>
      <c r="B21" s="2"/>
      <c r="C21" s="2"/>
      <c r="D21" s="2"/>
      <c r="E21" s="2"/>
      <c r="F21" s="2"/>
      <c r="G21" s="2"/>
      <c r="H21" s="2"/>
      <c r="I21" s="9"/>
    </row>
    <row r="22" spans="1:9" x14ac:dyDescent="0.3">
      <c r="A22" s="6" t="s">
        <v>92</v>
      </c>
      <c r="B22" s="2"/>
      <c r="C22" s="2"/>
      <c r="D22" s="2"/>
      <c r="E22" s="2"/>
      <c r="F22" s="2"/>
      <c r="G22" s="2"/>
      <c r="H22" s="2"/>
      <c r="I22" s="9"/>
    </row>
    <row r="23" spans="1:9" x14ac:dyDescent="0.3">
      <c r="A23" s="6" t="s">
        <v>93</v>
      </c>
      <c r="B23" s="2"/>
      <c r="C23" s="2"/>
      <c r="D23" s="2"/>
      <c r="E23" s="2"/>
      <c r="F23" s="2"/>
      <c r="G23" s="2"/>
      <c r="H23" s="2"/>
      <c r="I23" s="9"/>
    </row>
    <row r="24" spans="1:9" x14ac:dyDescent="0.3">
      <c r="A24" s="6" t="s">
        <v>94</v>
      </c>
      <c r="B24" s="2"/>
      <c r="C24" s="2"/>
      <c r="D24" s="2"/>
      <c r="E24" s="2"/>
      <c r="F24" s="2"/>
      <c r="G24" s="2"/>
      <c r="H24" s="2"/>
      <c r="I24" s="9"/>
    </row>
    <row r="25" spans="1:9" x14ac:dyDescent="0.3">
      <c r="A25" s="6" t="s">
        <v>95</v>
      </c>
      <c r="B25" s="2"/>
      <c r="C25" s="2"/>
      <c r="D25" s="2"/>
      <c r="E25" s="2"/>
      <c r="F25" s="2"/>
      <c r="G25" s="2"/>
      <c r="H25" s="2"/>
      <c r="I25" s="9"/>
    </row>
    <row r="26" spans="1:9" x14ac:dyDescent="0.3">
      <c r="A26" s="6" t="s">
        <v>96</v>
      </c>
      <c r="B26" s="2"/>
      <c r="C26" s="2"/>
      <c r="D26" s="2"/>
      <c r="E26" s="2"/>
      <c r="F26" s="2"/>
      <c r="G26" s="2"/>
      <c r="H26" s="2"/>
      <c r="I26" s="9"/>
    </row>
    <row r="27" spans="1:9" x14ac:dyDescent="0.3">
      <c r="A27" s="6" t="s">
        <v>97</v>
      </c>
      <c r="B27" s="2"/>
      <c r="C27" s="2"/>
      <c r="D27" s="2"/>
      <c r="E27" s="2"/>
      <c r="F27" s="2"/>
      <c r="G27" s="2"/>
      <c r="H27" s="2"/>
      <c r="I27" s="9"/>
    </row>
    <row r="28" spans="1:9" x14ac:dyDescent="0.3">
      <c r="A28" s="6" t="s">
        <v>98</v>
      </c>
      <c r="B28" s="2"/>
      <c r="C28" s="2"/>
      <c r="D28" s="2"/>
      <c r="E28" s="2"/>
      <c r="F28" s="2"/>
      <c r="G28" s="2"/>
      <c r="H28" s="2"/>
      <c r="I28" s="9"/>
    </row>
    <row r="29" spans="1:9" x14ac:dyDescent="0.3">
      <c r="A29" s="6" t="s">
        <v>99</v>
      </c>
      <c r="B29" s="2"/>
      <c r="C29" s="2"/>
      <c r="D29" s="2"/>
      <c r="E29" s="2"/>
      <c r="F29" s="2"/>
      <c r="G29" s="2"/>
      <c r="H29" s="2"/>
      <c r="I29" s="9"/>
    </row>
    <row r="30" spans="1:9" x14ac:dyDescent="0.3">
      <c r="A30" s="6" t="s">
        <v>100</v>
      </c>
      <c r="B30" s="2"/>
      <c r="C30" s="2"/>
      <c r="D30" s="2"/>
      <c r="E30" s="2"/>
      <c r="F30" s="2"/>
      <c r="G30" s="2"/>
      <c r="H30" s="2"/>
      <c r="I30" s="9"/>
    </row>
    <row r="31" spans="1:9" x14ac:dyDescent="0.3">
      <c r="A31" s="6" t="s">
        <v>101</v>
      </c>
      <c r="B31" s="2"/>
      <c r="C31" s="2"/>
      <c r="D31" s="2"/>
      <c r="E31" s="2"/>
      <c r="F31" s="2"/>
      <c r="G31" s="2"/>
      <c r="H31" s="2"/>
      <c r="I31" s="9"/>
    </row>
    <row r="32" spans="1:9" x14ac:dyDescent="0.3">
      <c r="A32" s="6" t="s">
        <v>102</v>
      </c>
      <c r="B32" s="2"/>
      <c r="C32" s="2"/>
      <c r="D32" s="2"/>
      <c r="E32" s="2"/>
      <c r="F32" s="2"/>
      <c r="G32" s="2"/>
      <c r="H32" s="2"/>
      <c r="I32" s="9"/>
    </row>
    <row r="33" spans="1:9" x14ac:dyDescent="0.3">
      <c r="A33" s="6" t="s">
        <v>103</v>
      </c>
      <c r="B33" s="2"/>
      <c r="C33" s="2"/>
      <c r="D33" s="2"/>
      <c r="E33" s="2"/>
      <c r="F33" s="2"/>
      <c r="G33" s="2"/>
      <c r="H33" s="2"/>
      <c r="I33" s="9"/>
    </row>
    <row r="34" spans="1:9" x14ac:dyDescent="0.3">
      <c r="A34" s="11" t="s">
        <v>104</v>
      </c>
      <c r="B34" s="12"/>
      <c r="C34" s="12"/>
      <c r="D34" s="12"/>
      <c r="E34" s="12"/>
      <c r="F34" s="12"/>
      <c r="G34" s="12"/>
      <c r="H34" s="12"/>
      <c r="I34" s="13"/>
    </row>
  </sheetData>
  <mergeCells count="2">
    <mergeCell ref="A1:I1"/>
    <mergeCell ref="A2:I2"/>
  </mergeCells>
  <dataValidations count="1">
    <dataValidation type="list" allowBlank="1" showInputMessage="1" showErrorMessage="1" sqref="E5:E34" xr:uid="{BCF80830-38F4-4E64-9CF5-169E59203580}">
      <formula1>"""APK,PIPELINE,FIELD_MAP,EXTRINSIC,HARDWARE,PROCEDURE,OTHER"""</formula1>
    </dataValidation>
  </dataValidations>
  <pageMargins left="0.25" right="0.25" top="0.35" bottom="0.35" header="0.3" footer="0.3"/>
  <pageSetup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401F-6F61-48EA-9C86-C09200685F94}">
  <dimension ref="A1:F12"/>
  <sheetViews>
    <sheetView showGridLines="0" workbookViewId="0">
      <selection sqref="A1:F1"/>
    </sheetView>
  </sheetViews>
  <sheetFormatPr baseColWidth="10" defaultRowHeight="14.4" x14ac:dyDescent="0.3"/>
  <cols>
    <col min="1" max="1" width="34.77734375" customWidth="1"/>
    <col min="2" max="2" width="15.77734375" customWidth="1"/>
    <col min="3" max="3" width="12.77734375" customWidth="1"/>
    <col min="4" max="4" width="42.77734375" customWidth="1"/>
    <col min="5" max="5" width="35.77734375" customWidth="1"/>
  </cols>
  <sheetData>
    <row r="1" spans="1:6" ht="30" customHeight="1" x14ac:dyDescent="0.3">
      <c r="A1" s="19" t="s">
        <v>105</v>
      </c>
      <c r="B1" s="19"/>
      <c r="C1" s="19"/>
      <c r="D1" s="19"/>
      <c r="E1" s="19"/>
      <c r="F1" s="19"/>
    </row>
    <row r="2" spans="1:6" ht="36" customHeight="1" x14ac:dyDescent="0.3">
      <c r="A2" s="20" t="s">
        <v>106</v>
      </c>
      <c r="B2" s="20"/>
      <c r="C2" s="20"/>
      <c r="D2" s="20"/>
      <c r="E2" s="20"/>
      <c r="F2" s="20"/>
    </row>
    <row r="4" spans="1:6" ht="31.95" customHeight="1" x14ac:dyDescent="0.3">
      <c r="A4" s="7" t="s">
        <v>107</v>
      </c>
      <c r="B4" s="8" t="s">
        <v>108</v>
      </c>
      <c r="C4" s="8" t="s">
        <v>109</v>
      </c>
      <c r="D4" s="8" t="s">
        <v>110</v>
      </c>
      <c r="E4" s="10" t="s">
        <v>111</v>
      </c>
    </row>
    <row r="5" spans="1:6" x14ac:dyDescent="0.3">
      <c r="A5" s="6" t="s">
        <v>112</v>
      </c>
      <c r="B5" s="4">
        <v>200</v>
      </c>
      <c r="C5" s="4" t="s">
        <v>113</v>
      </c>
      <c r="D5" s="4" t="s">
        <v>114</v>
      </c>
      <c r="E5" s="14" t="s">
        <v>115</v>
      </c>
    </row>
    <row r="6" spans="1:6" x14ac:dyDescent="0.3">
      <c r="A6" s="6" t="s">
        <v>116</v>
      </c>
      <c r="B6" s="4">
        <v>0</v>
      </c>
      <c r="C6" s="4" t="s">
        <v>117</v>
      </c>
      <c r="D6" s="4" t="s">
        <v>114</v>
      </c>
      <c r="E6" s="14" t="s">
        <v>118</v>
      </c>
    </row>
    <row r="7" spans="1:6" x14ac:dyDescent="0.3">
      <c r="A7" s="6" t="s">
        <v>119</v>
      </c>
      <c r="B7" s="4">
        <v>20</v>
      </c>
      <c r="C7" s="4" t="s">
        <v>120</v>
      </c>
      <c r="D7" s="4" t="s">
        <v>121</v>
      </c>
      <c r="E7" s="14" t="s">
        <v>122</v>
      </c>
    </row>
    <row r="8" spans="1:6" x14ac:dyDescent="0.3">
      <c r="A8" s="6" t="s">
        <v>123</v>
      </c>
      <c r="B8" s="4">
        <v>24</v>
      </c>
      <c r="C8" s="4" t="s">
        <v>120</v>
      </c>
      <c r="D8" s="4" t="s">
        <v>121</v>
      </c>
      <c r="E8" s="14" t="s">
        <v>124</v>
      </c>
    </row>
    <row r="9" spans="1:6" x14ac:dyDescent="0.3">
      <c r="A9" s="6" t="s">
        <v>125</v>
      </c>
      <c r="B9" s="4">
        <v>165.1</v>
      </c>
      <c r="C9" s="4" t="s">
        <v>126</v>
      </c>
      <c r="D9" s="4" t="s">
        <v>127</v>
      </c>
      <c r="E9" s="14" t="s">
        <v>128</v>
      </c>
    </row>
    <row r="10" spans="1:6" x14ac:dyDescent="0.3">
      <c r="A10" s="6" t="s">
        <v>129</v>
      </c>
      <c r="B10" s="4">
        <v>5</v>
      </c>
      <c r="C10" s="4" t="s">
        <v>130</v>
      </c>
      <c r="D10" s="4" t="s">
        <v>131</v>
      </c>
      <c r="E10" s="14" t="s">
        <v>132</v>
      </c>
    </row>
    <row r="11" spans="1:6" x14ac:dyDescent="0.3">
      <c r="A11" s="6" t="s">
        <v>133</v>
      </c>
      <c r="B11" s="4">
        <v>100</v>
      </c>
      <c r="C11" s="4" t="s">
        <v>134</v>
      </c>
      <c r="D11" s="4" t="s">
        <v>135</v>
      </c>
      <c r="E11" s="14" t="s">
        <v>136</v>
      </c>
    </row>
    <row r="12" spans="1:6" x14ac:dyDescent="0.3">
      <c r="A12" s="11" t="s">
        <v>137</v>
      </c>
      <c r="B12" s="15">
        <v>250</v>
      </c>
      <c r="C12" s="15" t="s">
        <v>113</v>
      </c>
      <c r="D12" s="15" t="s">
        <v>135</v>
      </c>
      <c r="E12" s="16" t="s">
        <v>136</v>
      </c>
    </row>
  </sheetData>
  <mergeCells count="2">
    <mergeCell ref="A1:F1"/>
    <mergeCell ref="A2:F2"/>
  </mergeCells>
  <pageMargins left="0.25" right="0.25" top="0.35" bottom="0.3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120D1-735B-4096-8493-1477EC1A872A}">
  <dimension ref="A1:L12"/>
  <sheetViews>
    <sheetView showGridLines="0" workbookViewId="0">
      <selection sqref="A1:L1"/>
    </sheetView>
  </sheetViews>
  <sheetFormatPr baseColWidth="10" defaultRowHeight="14.4" x14ac:dyDescent="0.3"/>
  <cols>
    <col min="1" max="1" width="22.77734375" customWidth="1"/>
    <col min="3" max="3" width="22.77734375" customWidth="1"/>
    <col min="5" max="5" width="22.77734375" customWidth="1"/>
    <col min="7" max="7" width="22.77734375" customWidth="1"/>
    <col min="9" max="9" width="22.77734375" customWidth="1"/>
    <col min="11" max="11" width="22.77734375" customWidth="1"/>
  </cols>
  <sheetData>
    <row r="1" spans="1:12" ht="30" customHeight="1" x14ac:dyDescent="0.3">
      <c r="A1" s="19" t="s">
        <v>138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36" customHeight="1" x14ac:dyDescent="0.3">
      <c r="A2" s="20" t="s">
        <v>139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4" spans="1:12" ht="31.95" customHeight="1" x14ac:dyDescent="0.3">
      <c r="A4" s="1" t="s">
        <v>140</v>
      </c>
      <c r="C4" s="1" t="s">
        <v>149</v>
      </c>
      <c r="E4" s="1" t="s">
        <v>152</v>
      </c>
      <c r="G4" s="1" t="s">
        <v>160</v>
      </c>
      <c r="I4" s="1" t="s">
        <v>164</v>
      </c>
      <c r="K4" s="1" t="s">
        <v>167</v>
      </c>
    </row>
    <row r="5" spans="1:12" x14ac:dyDescent="0.3">
      <c r="A5" s="3" t="s">
        <v>141</v>
      </c>
      <c r="C5" s="3" t="s">
        <v>150</v>
      </c>
      <c r="E5" s="3" t="s">
        <v>153</v>
      </c>
      <c r="G5" s="3" t="s">
        <v>161</v>
      </c>
      <c r="I5" s="3" t="s">
        <v>165</v>
      </c>
      <c r="K5" s="3" t="s">
        <v>168</v>
      </c>
    </row>
    <row r="6" spans="1:12" x14ac:dyDescent="0.3">
      <c r="A6" s="3" t="s">
        <v>142</v>
      </c>
      <c r="C6" s="3" t="s">
        <v>151</v>
      </c>
      <c r="E6" s="3" t="s">
        <v>154</v>
      </c>
      <c r="G6" s="3" t="s">
        <v>162</v>
      </c>
      <c r="I6" s="3" t="s">
        <v>166</v>
      </c>
      <c r="K6" s="3" t="s">
        <v>169</v>
      </c>
    </row>
    <row r="7" spans="1:12" x14ac:dyDescent="0.3">
      <c r="A7" s="3" t="s">
        <v>143</v>
      </c>
      <c r="E7" s="3" t="s">
        <v>155</v>
      </c>
      <c r="G7" s="3" t="s">
        <v>163</v>
      </c>
      <c r="K7" s="3" t="s">
        <v>170</v>
      </c>
    </row>
    <row r="8" spans="1:12" x14ac:dyDescent="0.3">
      <c r="A8" s="3" t="s">
        <v>144</v>
      </c>
      <c r="E8" s="3" t="s">
        <v>156</v>
      </c>
      <c r="K8" s="3" t="s">
        <v>171</v>
      </c>
    </row>
    <row r="9" spans="1:12" x14ac:dyDescent="0.3">
      <c r="A9" s="3" t="s">
        <v>145</v>
      </c>
      <c r="E9" s="3" t="s">
        <v>157</v>
      </c>
      <c r="K9" s="3" t="s">
        <v>172</v>
      </c>
    </row>
    <row r="10" spans="1:12" x14ac:dyDescent="0.3">
      <c r="A10" s="3" t="s">
        <v>146</v>
      </c>
      <c r="E10" s="3" t="s">
        <v>158</v>
      </c>
    </row>
    <row r="11" spans="1:12" x14ac:dyDescent="0.3">
      <c r="A11" s="3" t="s">
        <v>147</v>
      </c>
      <c r="E11" s="3" t="s">
        <v>159</v>
      </c>
    </row>
    <row r="12" spans="1:12" x14ac:dyDescent="0.3">
      <c r="A12" s="3" t="s">
        <v>148</v>
      </c>
    </row>
  </sheetData>
  <mergeCells count="2">
    <mergeCell ref="A1:L1"/>
    <mergeCell ref="A2:L2"/>
  </mergeCells>
  <pageMargins left="0.25" right="0.25" top="0.35" bottom="0.3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EE27A-F229-483A-BDB7-2FF09A6AB9D0}">
  <dimension ref="A1:H18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10" defaultRowHeight="14.4" x14ac:dyDescent="0.3"/>
  <cols>
    <col min="1" max="1" width="13.77734375" customWidth="1"/>
    <col min="2" max="2" width="34.77734375" customWidth="1"/>
    <col min="3" max="4" width="31.77734375" customWidth="1"/>
    <col min="5" max="5" width="30.77734375" customWidth="1"/>
    <col min="6" max="6" width="18.77734375" customWidth="1"/>
    <col min="7" max="8" width="36.77734375" customWidth="1"/>
  </cols>
  <sheetData>
    <row r="1" spans="1:8" ht="30" customHeight="1" x14ac:dyDescent="0.3">
      <c r="A1" s="19" t="s">
        <v>173</v>
      </c>
      <c r="B1" s="19"/>
      <c r="C1" s="19"/>
      <c r="D1" s="19"/>
      <c r="E1" s="19"/>
      <c r="F1" s="19"/>
      <c r="G1" s="19"/>
      <c r="H1" s="19"/>
    </row>
    <row r="2" spans="1:8" ht="36" customHeight="1" x14ac:dyDescent="0.3">
      <c r="A2" s="20" t="s">
        <v>174</v>
      </c>
      <c r="B2" s="20"/>
      <c r="C2" s="20"/>
      <c r="D2" s="20"/>
      <c r="E2" s="20"/>
      <c r="F2" s="20"/>
      <c r="G2" s="20"/>
      <c r="H2" s="20"/>
    </row>
    <row r="4" spans="1:8" ht="31.95" customHeight="1" x14ac:dyDescent="0.3">
      <c r="A4" s="7" t="s">
        <v>175</v>
      </c>
      <c r="B4" s="8" t="s">
        <v>176</v>
      </c>
      <c r="C4" s="8" t="s">
        <v>177</v>
      </c>
      <c r="D4" s="8" t="s">
        <v>178</v>
      </c>
      <c r="E4" s="8" t="s">
        <v>179</v>
      </c>
      <c r="F4" s="8" t="s">
        <v>140</v>
      </c>
      <c r="G4" s="8" t="s">
        <v>180</v>
      </c>
      <c r="H4" s="10" t="s">
        <v>181</v>
      </c>
    </row>
    <row r="5" spans="1:8" x14ac:dyDescent="0.3">
      <c r="A5" s="6" t="s">
        <v>182</v>
      </c>
      <c r="B5" s="4" t="s">
        <v>183</v>
      </c>
      <c r="C5" s="4" t="s">
        <v>184</v>
      </c>
      <c r="D5" s="2" t="s">
        <v>184</v>
      </c>
      <c r="E5" s="2"/>
      <c r="F5" s="2" t="s">
        <v>141</v>
      </c>
      <c r="G5" s="2"/>
      <c r="H5" s="9"/>
    </row>
    <row r="6" spans="1:8" x14ac:dyDescent="0.3">
      <c r="A6" s="6" t="s">
        <v>185</v>
      </c>
      <c r="B6" s="4" t="s">
        <v>186</v>
      </c>
      <c r="C6" s="4">
        <v>2026</v>
      </c>
      <c r="D6" s="2">
        <v>2026</v>
      </c>
      <c r="E6" s="2"/>
      <c r="F6" s="2" t="s">
        <v>141</v>
      </c>
      <c r="G6" s="2"/>
      <c r="H6" s="9"/>
    </row>
    <row r="7" spans="1:8" x14ac:dyDescent="0.3">
      <c r="A7" s="6" t="s">
        <v>187</v>
      </c>
      <c r="B7" s="4" t="s">
        <v>188</v>
      </c>
      <c r="C7" s="4">
        <v>0</v>
      </c>
      <c r="D7" s="2">
        <v>0</v>
      </c>
      <c r="E7" s="2"/>
      <c r="F7" s="2" t="s">
        <v>141</v>
      </c>
      <c r="G7" s="2"/>
      <c r="H7" s="9"/>
    </row>
    <row r="8" spans="1:8" x14ac:dyDescent="0.3">
      <c r="A8" s="6" t="s">
        <v>189</v>
      </c>
      <c r="B8" s="4" t="s">
        <v>190</v>
      </c>
      <c r="C8" s="4" t="s">
        <v>191</v>
      </c>
      <c r="D8" s="2" t="s">
        <v>191</v>
      </c>
      <c r="E8" s="2"/>
      <c r="F8" s="2" t="s">
        <v>141</v>
      </c>
      <c r="G8" s="2"/>
      <c r="H8" s="9"/>
    </row>
    <row r="9" spans="1:8" x14ac:dyDescent="0.3">
      <c r="A9" s="6" t="s">
        <v>192</v>
      </c>
      <c r="B9" s="4" t="s">
        <v>193</v>
      </c>
      <c r="C9" s="4" t="s">
        <v>194</v>
      </c>
      <c r="D9" s="2" t="s">
        <v>194</v>
      </c>
      <c r="E9" s="2"/>
      <c r="F9" s="2" t="s">
        <v>141</v>
      </c>
      <c r="G9" s="2"/>
      <c r="H9" s="9"/>
    </row>
    <row r="10" spans="1:8" x14ac:dyDescent="0.3">
      <c r="A10" s="6" t="s">
        <v>195</v>
      </c>
      <c r="B10" s="4" t="s">
        <v>196</v>
      </c>
      <c r="C10" s="4" t="s">
        <v>197</v>
      </c>
      <c r="D10" s="2" t="s">
        <v>197</v>
      </c>
      <c r="E10" s="2"/>
      <c r="F10" s="2" t="s">
        <v>141</v>
      </c>
      <c r="G10" s="2"/>
      <c r="H10" s="9" t="s">
        <v>198</v>
      </c>
    </row>
    <row r="11" spans="1:8" x14ac:dyDescent="0.3">
      <c r="A11" s="6" t="s">
        <v>199</v>
      </c>
      <c r="B11" s="4" t="s">
        <v>200</v>
      </c>
      <c r="C11" s="4">
        <v>0</v>
      </c>
      <c r="D11" s="2"/>
      <c r="E11" s="2"/>
      <c r="F11" s="2" t="s">
        <v>141</v>
      </c>
      <c r="G11" s="2"/>
      <c r="H11" s="9" t="s">
        <v>201</v>
      </c>
    </row>
    <row r="12" spans="1:8" x14ac:dyDescent="0.3">
      <c r="A12" s="6" t="s">
        <v>202</v>
      </c>
      <c r="B12" s="4" t="s">
        <v>203</v>
      </c>
      <c r="C12" s="4" t="s">
        <v>204</v>
      </c>
      <c r="D12" s="2"/>
      <c r="E12" s="2"/>
      <c r="F12" s="2" t="s">
        <v>141</v>
      </c>
      <c r="G12" s="2"/>
      <c r="H12" s="9" t="s">
        <v>61</v>
      </c>
    </row>
    <row r="13" spans="1:8" x14ac:dyDescent="0.3">
      <c r="A13" s="6" t="s">
        <v>205</v>
      </c>
      <c r="B13" s="4" t="s">
        <v>206</v>
      </c>
      <c r="C13" s="4" t="s">
        <v>207</v>
      </c>
      <c r="D13" s="2"/>
      <c r="E13" s="2"/>
      <c r="F13" s="2" t="s">
        <v>141</v>
      </c>
      <c r="G13" s="2"/>
      <c r="H13" s="9" t="s">
        <v>208</v>
      </c>
    </row>
    <row r="14" spans="1:8" x14ac:dyDescent="0.3">
      <c r="A14" s="6" t="s">
        <v>209</v>
      </c>
      <c r="B14" s="4" t="s">
        <v>210</v>
      </c>
      <c r="C14" s="4" t="s">
        <v>150</v>
      </c>
      <c r="D14" s="2"/>
      <c r="E14" s="2"/>
      <c r="F14" s="2" t="s">
        <v>141</v>
      </c>
      <c r="G14" s="2"/>
      <c r="H14" s="9"/>
    </row>
    <row r="15" spans="1:8" x14ac:dyDescent="0.3">
      <c r="A15" s="6" t="s">
        <v>211</v>
      </c>
      <c r="B15" s="4" t="s">
        <v>212</v>
      </c>
      <c r="C15" s="4" t="s">
        <v>151</v>
      </c>
      <c r="D15" s="2"/>
      <c r="E15" s="2"/>
      <c r="F15" s="2" t="s">
        <v>141</v>
      </c>
      <c r="G15" s="2"/>
      <c r="H15" s="9"/>
    </row>
    <row r="16" spans="1:8" x14ac:dyDescent="0.3">
      <c r="A16" s="6" t="s">
        <v>213</v>
      </c>
      <c r="B16" s="4" t="s">
        <v>214</v>
      </c>
      <c r="C16" s="4" t="s">
        <v>150</v>
      </c>
      <c r="D16" s="2"/>
      <c r="E16" s="2"/>
      <c r="F16" s="2" t="s">
        <v>141</v>
      </c>
      <c r="G16" s="2"/>
      <c r="H16" s="9"/>
    </row>
    <row r="17" spans="1:8" x14ac:dyDescent="0.3">
      <c r="A17" s="6" t="s">
        <v>215</v>
      </c>
      <c r="B17" s="4" t="s">
        <v>216</v>
      </c>
      <c r="C17" s="4" t="s">
        <v>150</v>
      </c>
      <c r="D17" s="2"/>
      <c r="E17" s="2"/>
      <c r="F17" s="2" t="s">
        <v>141</v>
      </c>
      <c r="G17" s="2"/>
      <c r="H17" s="9"/>
    </row>
    <row r="18" spans="1:8" x14ac:dyDescent="0.3">
      <c r="A18" s="11" t="s">
        <v>217</v>
      </c>
      <c r="B18" s="15" t="s">
        <v>218</v>
      </c>
      <c r="C18" s="15" t="s">
        <v>150</v>
      </c>
      <c r="D18" s="12"/>
      <c r="E18" s="12"/>
      <c r="F18" s="12" t="s">
        <v>141</v>
      </c>
      <c r="G18" s="12"/>
      <c r="H18" s="13" t="s">
        <v>219</v>
      </c>
    </row>
  </sheetData>
  <mergeCells count="2">
    <mergeCell ref="A1:H1"/>
    <mergeCell ref="A2:H2"/>
  </mergeCells>
  <conditionalFormatting sqref="F5:F18">
    <cfRule type="cellIs" dxfId="23" priority="1" stopIfTrue="1" operator="equal">
      <formula>"PASS"</formula>
    </cfRule>
    <cfRule type="cellIs" dxfId="22" priority="2" stopIfTrue="1" operator="equal">
      <formula>"FAIL"</formula>
    </cfRule>
    <cfRule type="cellIs" dxfId="21" priority="3" stopIfTrue="1" operator="equal">
      <formula>"BLOCKED"</formula>
    </cfRule>
    <cfRule type="cellIs" dxfId="20" priority="4" stopIfTrue="1" operator="equal">
      <formula>"ABORTED"</formula>
    </cfRule>
  </conditionalFormatting>
  <dataValidations count="1">
    <dataValidation type="list" allowBlank="1" showInputMessage="1" showErrorMessage="1" sqref="F5:F18" xr:uid="{57E73043-FD30-48A8-83BA-2A6964A81102}">
      <formula1>"""NOT_RUN,IN_PROGRESS,PASS,FAIL,BLOCKED,ABORTED,INVALID_DATA,NOT_APPLICABLE"""</formula1>
    </dataValidation>
  </dataValidations>
  <pageMargins left="0.25" right="0.25" top="0.35" bottom="0.3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71E6-3A34-4164-8112-499ADA93E248}">
  <dimension ref="A1:N9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10" defaultColWidth="16.77734375" defaultRowHeight="14.4" x14ac:dyDescent="0.3"/>
  <cols>
    <col min="12" max="12" width="28.77734375" customWidth="1"/>
    <col min="14" max="14" width="35.77734375" customWidth="1"/>
  </cols>
  <sheetData>
    <row r="1" spans="1:14" ht="30" customHeight="1" x14ac:dyDescent="0.3">
      <c r="A1" s="19" t="s">
        <v>220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36" customHeight="1" x14ac:dyDescent="0.3">
      <c r="A2" s="20" t="s">
        <v>221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4" spans="1:14" ht="31.95" customHeight="1" x14ac:dyDescent="0.3">
      <c r="A4" s="7" t="s">
        <v>175</v>
      </c>
      <c r="B4" s="8" t="s">
        <v>222</v>
      </c>
      <c r="C4" s="8" t="s">
        <v>49</v>
      </c>
      <c r="D4" s="8" t="s">
        <v>223</v>
      </c>
      <c r="E4" s="8" t="s">
        <v>224</v>
      </c>
      <c r="F4" s="8" t="s">
        <v>225</v>
      </c>
      <c r="G4" s="8" t="s">
        <v>226</v>
      </c>
      <c r="H4" s="8" t="s">
        <v>227</v>
      </c>
      <c r="I4" s="8" t="s">
        <v>228</v>
      </c>
      <c r="J4" s="8" t="s">
        <v>229</v>
      </c>
      <c r="K4" s="8" t="s">
        <v>230</v>
      </c>
      <c r="L4" s="8" t="s">
        <v>179</v>
      </c>
      <c r="M4" s="8" t="s">
        <v>140</v>
      </c>
      <c r="N4" s="10" t="s">
        <v>181</v>
      </c>
    </row>
    <row r="5" spans="1:14" x14ac:dyDescent="0.3">
      <c r="A5" s="6" t="s">
        <v>231</v>
      </c>
      <c r="B5" s="4">
        <v>1</v>
      </c>
      <c r="C5" s="4" t="s">
        <v>50</v>
      </c>
      <c r="D5" s="2"/>
      <c r="E5" s="2"/>
      <c r="F5" s="2"/>
      <c r="G5" s="2"/>
      <c r="H5" s="2"/>
      <c r="I5" s="2"/>
      <c r="J5" s="2"/>
      <c r="K5" s="2"/>
      <c r="L5" s="2"/>
      <c r="M5" s="4" t="str">
        <f>IF(COUNTA(D5:K5)=0,"NOT_RUN",IF(OR(K5="YES",I5="YES",J5="YES"),"FAIL",IF(AND(D5="YES",E5="YES",F5="YES",G5="YES",H5=0,I5="NO",J5="NO",K5="NO"),"PASS","BLOCKED")))</f>
        <v>NOT_RUN</v>
      </c>
      <c r="N5" s="9"/>
    </row>
    <row r="6" spans="1:14" x14ac:dyDescent="0.3">
      <c r="A6" s="6" t="s">
        <v>232</v>
      </c>
      <c r="B6" s="4">
        <v>2</v>
      </c>
      <c r="C6" s="4" t="s">
        <v>50</v>
      </c>
      <c r="D6" s="2"/>
      <c r="E6" s="2"/>
      <c r="F6" s="2"/>
      <c r="G6" s="2"/>
      <c r="H6" s="2"/>
      <c r="I6" s="2"/>
      <c r="J6" s="2"/>
      <c r="K6" s="2"/>
      <c r="L6" s="2"/>
      <c r="M6" s="4" t="str">
        <f>IF(COUNTA(D6:K6)=0,"NOT_RUN",IF(OR(K6="YES",I6="YES",J6="YES"),"FAIL",IF(AND(D6="YES",E6="YES",F6="YES",G6="YES",H6=0,I6="NO",J6="NO",K6="NO"),"PASS","BLOCKED")))</f>
        <v>NOT_RUN</v>
      </c>
      <c r="N6" s="9"/>
    </row>
    <row r="7" spans="1:14" x14ac:dyDescent="0.3">
      <c r="A7" s="6" t="s">
        <v>233</v>
      </c>
      <c r="B7" s="4">
        <v>3</v>
      </c>
      <c r="C7" s="4" t="s">
        <v>50</v>
      </c>
      <c r="D7" s="2"/>
      <c r="E7" s="2"/>
      <c r="F7" s="2"/>
      <c r="G7" s="2"/>
      <c r="H7" s="2"/>
      <c r="I7" s="2"/>
      <c r="J7" s="2"/>
      <c r="K7" s="2"/>
      <c r="L7" s="2"/>
      <c r="M7" s="4" t="str">
        <f>IF(COUNTA(D7:K7)=0,"NOT_RUN",IF(OR(K7="YES",I7="YES",J7="YES"),"FAIL",IF(AND(D7="YES",E7="YES",F7="YES",G7="YES",H7=0,I7="NO",J7="NO",K7="NO"),"PASS","BLOCKED")))</f>
        <v>NOT_RUN</v>
      </c>
      <c r="N7" s="9"/>
    </row>
    <row r="8" spans="1:14" x14ac:dyDescent="0.3">
      <c r="A8" s="6" t="s">
        <v>234</v>
      </c>
      <c r="B8" s="4">
        <v>4</v>
      </c>
      <c r="C8" s="4" t="s">
        <v>50</v>
      </c>
      <c r="D8" s="2"/>
      <c r="E8" s="2"/>
      <c r="F8" s="2"/>
      <c r="G8" s="2"/>
      <c r="H8" s="2"/>
      <c r="I8" s="2"/>
      <c r="J8" s="2"/>
      <c r="K8" s="2"/>
      <c r="L8" s="2"/>
      <c r="M8" s="4" t="str">
        <f>IF(COUNTA(D8:K8)=0,"NOT_RUN",IF(OR(K8="YES",I8="YES",J8="YES"),"FAIL",IF(AND(D8="YES",E8="YES",F8="YES",G8="YES",H8=0,I8="NO",J8="NO",K8="NO"),"PASS","BLOCKED")))</f>
        <v>NOT_RUN</v>
      </c>
      <c r="N8" s="9"/>
    </row>
    <row r="9" spans="1:14" x14ac:dyDescent="0.3">
      <c r="A9" s="11" t="s">
        <v>235</v>
      </c>
      <c r="B9" s="15">
        <v>5</v>
      </c>
      <c r="C9" s="15" t="s">
        <v>50</v>
      </c>
      <c r="D9" s="12"/>
      <c r="E9" s="12"/>
      <c r="F9" s="12"/>
      <c r="G9" s="12"/>
      <c r="H9" s="12"/>
      <c r="I9" s="12"/>
      <c r="J9" s="12"/>
      <c r="K9" s="12"/>
      <c r="L9" s="12"/>
      <c r="M9" s="15" t="str">
        <f>IF(COUNTA(D9:K9)=0,"NOT_RUN",IF(OR(K9="YES",I9="YES",J9="YES"),"FAIL",IF(AND(D9="YES",E9="YES",F9="YES",G9="YES",H9=0,I9="NO",J9="NO",K9="NO"),"PASS","BLOCKED")))</f>
        <v>NOT_RUN</v>
      </c>
      <c r="N9" s="13"/>
    </row>
  </sheetData>
  <mergeCells count="2">
    <mergeCell ref="A1:N1"/>
    <mergeCell ref="A2:N2"/>
  </mergeCells>
  <conditionalFormatting sqref="M5:M9">
    <cfRule type="cellIs" dxfId="19" priority="1" stopIfTrue="1" operator="equal">
      <formula>"PASS"</formula>
    </cfRule>
    <cfRule type="cellIs" dxfId="18" priority="2" stopIfTrue="1" operator="equal">
      <formula>"FAIL"</formula>
    </cfRule>
    <cfRule type="cellIs" dxfId="17" priority="3" stopIfTrue="1" operator="equal">
      <formula>"BLOCKED"</formula>
    </cfRule>
    <cfRule type="cellIs" dxfId="16" priority="4" stopIfTrue="1" operator="equal">
      <formula>"ABORTED"</formula>
    </cfRule>
  </conditionalFormatting>
  <dataValidations count="2">
    <dataValidation type="list" allowBlank="1" showInputMessage="1" showErrorMessage="1" sqref="D5:D9 E5:E9 F5:F9 G5:G9 I5:I9 J5:J9 K5:K9" xr:uid="{F53A8618-90A1-4D27-9AFC-BA1FB6ED0391}">
      <formula1>"""YES,NO"""</formula1>
    </dataValidation>
    <dataValidation type="list" allowBlank="1" showInputMessage="1" showErrorMessage="1" sqref="M5:M9" xr:uid="{00F0164E-F31D-4DAD-839B-47C8179FDAEE}">
      <formula1>"""NOT_RUN,IN_PROGRESS,PASS,FAIL,BLOCKED,ABORTED,INVALID_DATA,NOT_APPLICABLE"""</formula1>
    </dataValidation>
  </dataValidations>
  <pageMargins left="0.25" right="0.25" top="0.35" bottom="0.35" header="0.3" footer="0.3"/>
  <pageSetup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958F-064D-45C4-8E27-CEC89DC785F1}">
  <dimension ref="A1:V44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10" defaultColWidth="16.77734375" defaultRowHeight="14.4" x14ac:dyDescent="0.3"/>
  <cols>
    <col min="21" max="22" width="34.77734375" customWidth="1"/>
  </cols>
  <sheetData>
    <row r="1" spans="1:22" ht="30" customHeight="1" x14ac:dyDescent="0.3">
      <c r="A1" s="19" t="s">
        <v>236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ht="36" customHeight="1" x14ac:dyDescent="0.3">
      <c r="A2" s="20" t="s">
        <v>237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4" spans="1:22" ht="31.95" customHeight="1" x14ac:dyDescent="0.3">
      <c r="A4" s="7" t="s">
        <v>238</v>
      </c>
      <c r="B4" s="8" t="s">
        <v>49</v>
      </c>
      <c r="C4" s="8" t="s">
        <v>239</v>
      </c>
      <c r="D4" s="8" t="s">
        <v>240</v>
      </c>
      <c r="E4" s="8" t="s">
        <v>241</v>
      </c>
      <c r="F4" s="8" t="s">
        <v>242</v>
      </c>
      <c r="G4" s="8" t="s">
        <v>243</v>
      </c>
      <c r="H4" s="8" t="s">
        <v>244</v>
      </c>
      <c r="I4" s="8" t="s">
        <v>245</v>
      </c>
      <c r="J4" s="8" t="s">
        <v>246</v>
      </c>
      <c r="K4" s="8" t="s">
        <v>247</v>
      </c>
      <c r="L4" s="8" t="s">
        <v>248</v>
      </c>
      <c r="M4" s="8" t="s">
        <v>249</v>
      </c>
      <c r="N4" s="8" t="s">
        <v>250</v>
      </c>
      <c r="O4" s="8" t="s">
        <v>251</v>
      </c>
      <c r="P4" s="8" t="s">
        <v>252</v>
      </c>
      <c r="Q4" s="8" t="s">
        <v>253</v>
      </c>
      <c r="R4" s="8" t="s">
        <v>254</v>
      </c>
      <c r="S4" s="8" t="s">
        <v>255</v>
      </c>
      <c r="T4" s="8" t="s">
        <v>152</v>
      </c>
      <c r="U4" s="8" t="s">
        <v>256</v>
      </c>
      <c r="V4" s="10" t="s">
        <v>179</v>
      </c>
    </row>
    <row r="5" spans="1:22" x14ac:dyDescent="0.3">
      <c r="A5" s="6" t="s">
        <v>257</v>
      </c>
      <c r="B5" s="4" t="s">
        <v>50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9"/>
    </row>
    <row r="6" spans="1:22" x14ac:dyDescent="0.3">
      <c r="A6" s="6" t="s">
        <v>258</v>
      </c>
      <c r="B6" s="4" t="s">
        <v>50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9"/>
    </row>
    <row r="7" spans="1:22" x14ac:dyDescent="0.3">
      <c r="A7" s="6" t="s">
        <v>259</v>
      </c>
      <c r="B7" s="4" t="s">
        <v>50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9"/>
    </row>
    <row r="8" spans="1:22" x14ac:dyDescent="0.3">
      <c r="A8" s="6" t="s">
        <v>260</v>
      </c>
      <c r="B8" s="4" t="s">
        <v>50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9"/>
    </row>
    <row r="9" spans="1:22" x14ac:dyDescent="0.3">
      <c r="A9" s="6" t="s">
        <v>261</v>
      </c>
      <c r="B9" s="4" t="s">
        <v>50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9"/>
    </row>
    <row r="10" spans="1:22" x14ac:dyDescent="0.3">
      <c r="A10" s="6" t="s">
        <v>262</v>
      </c>
      <c r="B10" s="4" t="s">
        <v>50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9"/>
    </row>
    <row r="11" spans="1:22" x14ac:dyDescent="0.3">
      <c r="A11" s="6" t="s">
        <v>263</v>
      </c>
      <c r="B11" s="4" t="s">
        <v>50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9"/>
    </row>
    <row r="12" spans="1:22" x14ac:dyDescent="0.3">
      <c r="A12" s="6" t="s">
        <v>264</v>
      </c>
      <c r="B12" s="4" t="s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9"/>
    </row>
    <row r="13" spans="1:22" x14ac:dyDescent="0.3">
      <c r="A13" s="6" t="s">
        <v>265</v>
      </c>
      <c r="B13" s="4" t="s">
        <v>50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9"/>
    </row>
    <row r="14" spans="1:22" x14ac:dyDescent="0.3">
      <c r="A14" s="6" t="s">
        <v>266</v>
      </c>
      <c r="B14" s="4" t="s">
        <v>50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9"/>
    </row>
    <row r="15" spans="1:22" x14ac:dyDescent="0.3">
      <c r="A15" s="6" t="s">
        <v>267</v>
      </c>
      <c r="B15" s="4" t="s">
        <v>50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9"/>
    </row>
    <row r="16" spans="1:22" x14ac:dyDescent="0.3">
      <c r="A16" s="6" t="s">
        <v>268</v>
      </c>
      <c r="B16" s="4" t="s">
        <v>50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9"/>
    </row>
    <row r="17" spans="1:22" x14ac:dyDescent="0.3">
      <c r="A17" s="6" t="s">
        <v>269</v>
      </c>
      <c r="B17" s="4" t="s">
        <v>50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9"/>
    </row>
    <row r="18" spans="1:22" x14ac:dyDescent="0.3">
      <c r="A18" s="6" t="s">
        <v>270</v>
      </c>
      <c r="B18" s="4" t="s">
        <v>50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9"/>
    </row>
    <row r="19" spans="1:22" x14ac:dyDescent="0.3">
      <c r="A19" s="6" t="s">
        <v>271</v>
      </c>
      <c r="B19" s="4" t="s">
        <v>50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9"/>
    </row>
    <row r="20" spans="1:22" x14ac:dyDescent="0.3">
      <c r="A20" s="6" t="s">
        <v>272</v>
      </c>
      <c r="B20" s="4" t="s">
        <v>50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9"/>
    </row>
    <row r="21" spans="1:22" x14ac:dyDescent="0.3">
      <c r="A21" s="6" t="s">
        <v>273</v>
      </c>
      <c r="B21" s="4" t="s">
        <v>50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9"/>
    </row>
    <row r="22" spans="1:22" x14ac:dyDescent="0.3">
      <c r="A22" s="6" t="s">
        <v>274</v>
      </c>
      <c r="B22" s="4" t="s">
        <v>50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9"/>
    </row>
    <row r="23" spans="1:22" x14ac:dyDescent="0.3">
      <c r="A23" s="6" t="s">
        <v>275</v>
      </c>
      <c r="B23" s="4" t="s">
        <v>50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9"/>
    </row>
    <row r="24" spans="1:22" x14ac:dyDescent="0.3">
      <c r="A24" s="6" t="s">
        <v>276</v>
      </c>
      <c r="B24" s="4" t="s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9"/>
    </row>
    <row r="25" spans="1:22" x14ac:dyDescent="0.3">
      <c r="A25" s="6" t="s">
        <v>277</v>
      </c>
      <c r="B25" s="4" t="s">
        <v>50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9"/>
    </row>
    <row r="26" spans="1:22" x14ac:dyDescent="0.3">
      <c r="A26" s="6" t="s">
        <v>278</v>
      </c>
      <c r="B26" s="4" t="s">
        <v>50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9"/>
    </row>
    <row r="27" spans="1:22" x14ac:dyDescent="0.3">
      <c r="A27" s="6" t="s">
        <v>279</v>
      </c>
      <c r="B27" s="4" t="s">
        <v>50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9"/>
    </row>
    <row r="28" spans="1:22" x14ac:dyDescent="0.3">
      <c r="A28" s="6" t="s">
        <v>280</v>
      </c>
      <c r="B28" s="4" t="s">
        <v>50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9"/>
    </row>
    <row r="29" spans="1:22" x14ac:dyDescent="0.3">
      <c r="A29" s="6" t="s">
        <v>281</v>
      </c>
      <c r="B29" s="4" t="s">
        <v>50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9"/>
    </row>
    <row r="30" spans="1:22" x14ac:dyDescent="0.3">
      <c r="A30" s="6" t="s">
        <v>282</v>
      </c>
      <c r="B30" s="4" t="s">
        <v>50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9"/>
    </row>
    <row r="31" spans="1:22" x14ac:dyDescent="0.3">
      <c r="A31" s="6" t="s">
        <v>283</v>
      </c>
      <c r="B31" s="4" t="s">
        <v>50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9"/>
    </row>
    <row r="32" spans="1:22" x14ac:dyDescent="0.3">
      <c r="A32" s="6" t="s">
        <v>284</v>
      </c>
      <c r="B32" s="4" t="s">
        <v>50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9"/>
    </row>
    <row r="33" spans="1:22" x14ac:dyDescent="0.3">
      <c r="A33" s="6" t="s">
        <v>285</v>
      </c>
      <c r="B33" s="4" t="s">
        <v>50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9"/>
    </row>
    <row r="34" spans="1:22" x14ac:dyDescent="0.3">
      <c r="A34" s="6" t="s">
        <v>286</v>
      </c>
      <c r="B34" s="4" t="s">
        <v>50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9"/>
    </row>
    <row r="35" spans="1:22" x14ac:dyDescent="0.3">
      <c r="A35" s="6" t="s">
        <v>287</v>
      </c>
      <c r="B35" s="4" t="s">
        <v>50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9"/>
    </row>
    <row r="36" spans="1:22" x14ac:dyDescent="0.3">
      <c r="A36" s="6" t="s">
        <v>288</v>
      </c>
      <c r="B36" s="4" t="s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9"/>
    </row>
    <row r="37" spans="1:22" x14ac:dyDescent="0.3">
      <c r="A37" s="6" t="s">
        <v>289</v>
      </c>
      <c r="B37" s="4" t="s">
        <v>50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9"/>
    </row>
    <row r="38" spans="1:22" x14ac:dyDescent="0.3">
      <c r="A38" s="6" t="s">
        <v>290</v>
      </c>
      <c r="B38" s="4" t="s">
        <v>50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9"/>
    </row>
    <row r="39" spans="1:22" x14ac:dyDescent="0.3">
      <c r="A39" s="6" t="s">
        <v>291</v>
      </c>
      <c r="B39" s="4" t="s">
        <v>50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9"/>
    </row>
    <row r="40" spans="1:22" x14ac:dyDescent="0.3">
      <c r="A40" s="6" t="s">
        <v>292</v>
      </c>
      <c r="B40" s="4" t="s">
        <v>50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9"/>
    </row>
    <row r="41" spans="1:22" x14ac:dyDescent="0.3">
      <c r="A41" s="6" t="s">
        <v>293</v>
      </c>
      <c r="B41" s="4" t="s">
        <v>50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9"/>
    </row>
    <row r="42" spans="1:22" x14ac:dyDescent="0.3">
      <c r="A42" s="6" t="s">
        <v>294</v>
      </c>
      <c r="B42" s="4" t="s">
        <v>50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9"/>
    </row>
    <row r="43" spans="1:22" x14ac:dyDescent="0.3">
      <c r="A43" s="6" t="s">
        <v>295</v>
      </c>
      <c r="B43" s="4" t="s">
        <v>50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9"/>
    </row>
    <row r="44" spans="1:22" x14ac:dyDescent="0.3">
      <c r="A44" s="11" t="s">
        <v>296</v>
      </c>
      <c r="B44" s="15" t="s">
        <v>50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3"/>
    </row>
  </sheetData>
  <mergeCells count="2">
    <mergeCell ref="A1:V1"/>
    <mergeCell ref="A2:V2"/>
  </mergeCells>
  <dataValidations count="3">
    <dataValidation type="list" allowBlank="1" showInputMessage="1" showErrorMessage="1" sqref="D5:D44" xr:uid="{37517DCC-6AB1-4C5C-8DA2-9CC67E9396D9}">
      <formula1>"""BLUE,RED"""</formula1>
    </dataValidation>
    <dataValidation type="list" allowBlank="1" showInputMessage="1" showErrorMessage="1" sqref="E5:E44 N5:N44 S5:S44" xr:uid="{31F96ABE-9E30-42FC-9904-1C56AB01CAF6}">
      <formula1>"""YES,NO"""</formula1>
    </dataValidation>
    <dataValidation type="list" allowBlank="1" showInputMessage="1" showErrorMessage="1" sqref="T5:T44" xr:uid="{56CAB88E-FD7B-4343-8078-FC1665CC8517}">
      <formula1>"""VALID,NO_TARGET,WRONG_TAG,STALE,PIPELINE_MISMATCH,DEVICE_DISCONNECTED,INVALID"""</formula1>
    </dataValidation>
  </dataValidations>
  <pageMargins left="0.25" right="0.25" top="0.35" bottom="0.35" header="0.3" footer="0.3"/>
  <pageSetup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E4D35-2951-48A9-B33D-7D6B1011A023}">
  <dimension ref="A1:L12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10" defaultColWidth="20.77734375" defaultRowHeight="14.4" x14ac:dyDescent="0.3"/>
  <cols>
    <col min="2" max="2" width="24.77734375" customWidth="1"/>
    <col min="3" max="4" width="28.77734375" customWidth="1"/>
    <col min="9" max="9" width="28.77734375" customWidth="1"/>
    <col min="11" max="12" width="35.77734375" customWidth="1"/>
  </cols>
  <sheetData>
    <row r="1" spans="1:12" ht="30" customHeight="1" x14ac:dyDescent="0.3">
      <c r="A1" s="19" t="s">
        <v>297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36" customHeight="1" x14ac:dyDescent="0.3">
      <c r="A2" s="20" t="s">
        <v>298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4" spans="1:12" ht="31.95" customHeight="1" x14ac:dyDescent="0.3">
      <c r="A4" s="7" t="s">
        <v>175</v>
      </c>
      <c r="B4" s="8" t="s">
        <v>299</v>
      </c>
      <c r="C4" s="8" t="s">
        <v>300</v>
      </c>
      <c r="D4" s="8" t="s">
        <v>301</v>
      </c>
      <c r="E4" s="8" t="s">
        <v>302</v>
      </c>
      <c r="F4" s="8" t="s">
        <v>230</v>
      </c>
      <c r="G4" s="8" t="s">
        <v>228</v>
      </c>
      <c r="H4" s="8" t="s">
        <v>303</v>
      </c>
      <c r="I4" s="8" t="s">
        <v>179</v>
      </c>
      <c r="J4" s="8" t="s">
        <v>140</v>
      </c>
      <c r="K4" s="8" t="s">
        <v>180</v>
      </c>
      <c r="L4" s="10" t="s">
        <v>181</v>
      </c>
    </row>
    <row r="5" spans="1:12" x14ac:dyDescent="0.3">
      <c r="A5" s="6" t="s">
        <v>304</v>
      </c>
      <c r="B5" s="4" t="s">
        <v>305</v>
      </c>
      <c r="C5" s="4" t="s">
        <v>306</v>
      </c>
      <c r="D5" s="2"/>
      <c r="E5" s="2"/>
      <c r="F5" s="2"/>
      <c r="G5" s="2"/>
      <c r="H5" s="2"/>
      <c r="I5" s="2"/>
      <c r="J5" s="4" t="str">
        <f t="shared" ref="J5:J12" si="0">IF(COUNTA(D5:I5)=0,"NOT_RUN",IF(OR(E5&lt;&gt;"YES",F5&lt;&gt;"NO",G5&lt;&gt;"NO"),"FAIL",IF(AND(D5&lt;&gt;"",H5="YES",I5&lt;&gt;""),"PASS","BLOCKED")))</f>
        <v>NOT_RUN</v>
      </c>
      <c r="K5" s="2"/>
      <c r="L5" s="9"/>
    </row>
    <row r="6" spans="1:12" x14ac:dyDescent="0.3">
      <c r="A6" s="6" t="s">
        <v>307</v>
      </c>
      <c r="B6" s="4" t="s">
        <v>308</v>
      </c>
      <c r="C6" s="4" t="s">
        <v>155</v>
      </c>
      <c r="D6" s="2"/>
      <c r="E6" s="2"/>
      <c r="F6" s="2"/>
      <c r="G6" s="2"/>
      <c r="H6" s="2"/>
      <c r="I6" s="2"/>
      <c r="J6" s="4" t="str">
        <f t="shared" si="0"/>
        <v>NOT_RUN</v>
      </c>
      <c r="K6" s="2"/>
      <c r="L6" s="9"/>
    </row>
    <row r="7" spans="1:12" x14ac:dyDescent="0.3">
      <c r="A7" s="6" t="s">
        <v>309</v>
      </c>
      <c r="B7" s="4" t="s">
        <v>310</v>
      </c>
      <c r="C7" s="4" t="s">
        <v>159</v>
      </c>
      <c r="D7" s="2"/>
      <c r="E7" s="2"/>
      <c r="F7" s="2"/>
      <c r="G7" s="2"/>
      <c r="H7" s="2"/>
      <c r="I7" s="2"/>
      <c r="J7" s="4" t="str">
        <f t="shared" si="0"/>
        <v>NOT_RUN</v>
      </c>
      <c r="K7" s="2"/>
      <c r="L7" s="9"/>
    </row>
    <row r="8" spans="1:12" x14ac:dyDescent="0.3">
      <c r="A8" s="6" t="s">
        <v>311</v>
      </c>
      <c r="B8" s="4" t="s">
        <v>312</v>
      </c>
      <c r="C8" s="4" t="s">
        <v>157</v>
      </c>
      <c r="D8" s="2"/>
      <c r="E8" s="2"/>
      <c r="F8" s="2"/>
      <c r="G8" s="2"/>
      <c r="H8" s="2"/>
      <c r="I8" s="2"/>
      <c r="J8" s="4" t="str">
        <f t="shared" si="0"/>
        <v>NOT_RUN</v>
      </c>
      <c r="K8" s="2"/>
      <c r="L8" s="9"/>
    </row>
    <row r="9" spans="1:12" x14ac:dyDescent="0.3">
      <c r="A9" s="6" t="s">
        <v>313</v>
      </c>
      <c r="B9" s="4" t="s">
        <v>314</v>
      </c>
      <c r="C9" s="4" t="s">
        <v>158</v>
      </c>
      <c r="D9" s="2"/>
      <c r="E9" s="2"/>
      <c r="F9" s="2"/>
      <c r="G9" s="2"/>
      <c r="H9" s="2"/>
      <c r="I9" s="2"/>
      <c r="J9" s="4" t="str">
        <f t="shared" si="0"/>
        <v>NOT_RUN</v>
      </c>
      <c r="K9" s="2"/>
      <c r="L9" s="9"/>
    </row>
    <row r="10" spans="1:12" x14ac:dyDescent="0.3">
      <c r="A10" s="6" t="s">
        <v>315</v>
      </c>
      <c r="B10" s="4" t="s">
        <v>316</v>
      </c>
      <c r="C10" s="4" t="s">
        <v>317</v>
      </c>
      <c r="D10" s="2"/>
      <c r="E10" s="2"/>
      <c r="F10" s="2"/>
      <c r="G10" s="2"/>
      <c r="H10" s="2"/>
      <c r="I10" s="2"/>
      <c r="J10" s="4" t="str">
        <f t="shared" si="0"/>
        <v>NOT_RUN</v>
      </c>
      <c r="K10" s="2"/>
      <c r="L10" s="9"/>
    </row>
    <row r="11" spans="1:12" x14ac:dyDescent="0.3">
      <c r="A11" s="6" t="s">
        <v>318</v>
      </c>
      <c r="B11" s="4" t="s">
        <v>319</v>
      </c>
      <c r="C11" s="4" t="s">
        <v>156</v>
      </c>
      <c r="D11" s="2"/>
      <c r="E11" s="2"/>
      <c r="F11" s="2"/>
      <c r="G11" s="2"/>
      <c r="H11" s="2"/>
      <c r="I11" s="2"/>
      <c r="J11" s="4" t="str">
        <f t="shared" si="0"/>
        <v>NOT_RUN</v>
      </c>
      <c r="K11" s="2"/>
      <c r="L11" s="9"/>
    </row>
    <row r="12" spans="1:12" x14ac:dyDescent="0.3">
      <c r="A12" s="11" t="s">
        <v>320</v>
      </c>
      <c r="B12" s="15" t="s">
        <v>321</v>
      </c>
      <c r="C12" s="15" t="s">
        <v>322</v>
      </c>
      <c r="D12" s="12"/>
      <c r="E12" s="12"/>
      <c r="F12" s="12"/>
      <c r="G12" s="12"/>
      <c r="H12" s="12"/>
      <c r="I12" s="12"/>
      <c r="J12" s="15" t="str">
        <f t="shared" si="0"/>
        <v>NOT_RUN</v>
      </c>
      <c r="K12" s="12"/>
      <c r="L12" s="13"/>
    </row>
  </sheetData>
  <mergeCells count="2">
    <mergeCell ref="A1:L1"/>
    <mergeCell ref="A2:L2"/>
  </mergeCells>
  <conditionalFormatting sqref="J5:J12">
    <cfRule type="cellIs" dxfId="15" priority="1" stopIfTrue="1" operator="equal">
      <formula>"PASS"</formula>
    </cfRule>
    <cfRule type="cellIs" dxfId="14" priority="2" stopIfTrue="1" operator="equal">
      <formula>"FAIL"</formula>
    </cfRule>
    <cfRule type="cellIs" dxfId="13" priority="3" stopIfTrue="1" operator="equal">
      <formula>"BLOCKED"</formula>
    </cfRule>
    <cfRule type="cellIs" dxfId="12" priority="4" stopIfTrue="1" operator="equal">
      <formula>"ABORTED"</formula>
    </cfRule>
  </conditionalFormatting>
  <dataValidations count="2">
    <dataValidation type="list" allowBlank="1" showInputMessage="1" showErrorMessage="1" sqref="E5:E12 F5:F12 G5:G12 H5:H12" xr:uid="{31D66A94-0E90-45E1-83B4-8C937F071377}">
      <formula1>"""YES,NO"""</formula1>
    </dataValidation>
    <dataValidation type="list" allowBlank="1" showInputMessage="1" showErrorMessage="1" sqref="J5:J12" xr:uid="{C85FAC39-A851-480A-8F2D-34C24A7FF1C2}">
      <formula1>"""NOT_RUN,IN_PROGRESS,PASS,FAIL,BLOCKED,ABORTED,INVALID_DATA,NOT_APPLICABLE"""</formula1>
    </dataValidation>
  </dataValidations>
  <pageMargins left="0.25" right="0.25" top="0.35" bottom="0.35" header="0.3" footer="0.3"/>
  <pageSetup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8037-2CEE-4DF5-B46A-3CBFDA570DCD}">
  <dimension ref="A1:Q24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10" defaultColWidth="18.77734375" defaultRowHeight="14.4" x14ac:dyDescent="0.3"/>
  <cols>
    <col min="15" max="15" width="28.77734375" customWidth="1"/>
    <col min="17" max="17" width="35.77734375" customWidth="1"/>
  </cols>
  <sheetData>
    <row r="1" spans="1:17" ht="30" customHeight="1" x14ac:dyDescent="0.3">
      <c r="A1" s="19" t="s">
        <v>323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36" customHeight="1" x14ac:dyDescent="0.3">
      <c r="A2" s="20" t="s">
        <v>324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4" spans="1:17" ht="31.95" customHeight="1" x14ac:dyDescent="0.3">
      <c r="A4" s="7" t="s">
        <v>238</v>
      </c>
      <c r="B4" s="8" t="s">
        <v>49</v>
      </c>
      <c r="C4" s="8" t="s">
        <v>239</v>
      </c>
      <c r="D4" s="8" t="s">
        <v>325</v>
      </c>
      <c r="E4" s="8" t="s">
        <v>326</v>
      </c>
      <c r="F4" s="8" t="s">
        <v>327</v>
      </c>
      <c r="G4" s="8" t="s">
        <v>328</v>
      </c>
      <c r="H4" s="8" t="s">
        <v>329</v>
      </c>
      <c r="I4" s="8" t="s">
        <v>330</v>
      </c>
      <c r="J4" s="8" t="s">
        <v>331</v>
      </c>
      <c r="K4" s="8" t="s">
        <v>332</v>
      </c>
      <c r="L4" s="8" t="s">
        <v>333</v>
      </c>
      <c r="M4" s="8" t="s">
        <v>334</v>
      </c>
      <c r="N4" s="8" t="s">
        <v>245</v>
      </c>
      <c r="O4" s="8" t="s">
        <v>179</v>
      </c>
      <c r="P4" s="8" t="s">
        <v>140</v>
      </c>
      <c r="Q4" s="10" t="s">
        <v>181</v>
      </c>
    </row>
    <row r="5" spans="1:17" x14ac:dyDescent="0.3">
      <c r="A5" s="6" t="s">
        <v>335</v>
      </c>
      <c r="B5" s="4" t="s">
        <v>50</v>
      </c>
      <c r="C5" s="2"/>
      <c r="D5" s="2"/>
      <c r="E5" s="2"/>
      <c r="F5" s="2"/>
      <c r="G5" s="2"/>
      <c r="H5" s="2"/>
      <c r="I5" s="2"/>
      <c r="J5" s="4" t="str">
        <f t="shared" ref="J5:J24" si="0">IF(OR(D5="",G5=""),"",G5-D5)</f>
        <v/>
      </c>
      <c r="K5" s="4" t="str">
        <f t="shared" ref="K5:K24" si="1">IF(OR(E5="",H5=""),"",H5-E5)</f>
        <v/>
      </c>
      <c r="L5" s="4" t="str">
        <f t="shared" ref="L5:L24" si="2">IF(OR(J5="",K5=""),"",SQRT(J5^2+K5^2))</f>
        <v/>
      </c>
      <c r="M5" s="4" t="str">
        <f t="shared" ref="M5:M24" si="3">IF(OR(F5="",I5=""),"",MOD(I5-F5+180,360)-180)</f>
        <v/>
      </c>
      <c r="N5" s="2"/>
      <c r="O5" s="2"/>
      <c r="P5" s="2" t="s">
        <v>141</v>
      </c>
      <c r="Q5" s="9"/>
    </row>
    <row r="6" spans="1:17" x14ac:dyDescent="0.3">
      <c r="A6" s="6" t="s">
        <v>336</v>
      </c>
      <c r="B6" s="4" t="s">
        <v>50</v>
      </c>
      <c r="C6" s="2"/>
      <c r="D6" s="2"/>
      <c r="E6" s="2"/>
      <c r="F6" s="2"/>
      <c r="G6" s="2"/>
      <c r="H6" s="2"/>
      <c r="I6" s="2"/>
      <c r="J6" s="4" t="str">
        <f t="shared" si="0"/>
        <v/>
      </c>
      <c r="K6" s="4" t="str">
        <f t="shared" si="1"/>
        <v/>
      </c>
      <c r="L6" s="4" t="str">
        <f t="shared" si="2"/>
        <v/>
      </c>
      <c r="M6" s="4" t="str">
        <f t="shared" si="3"/>
        <v/>
      </c>
      <c r="N6" s="2"/>
      <c r="O6" s="2"/>
      <c r="P6" s="2" t="s">
        <v>141</v>
      </c>
      <c r="Q6" s="9"/>
    </row>
    <row r="7" spans="1:17" x14ac:dyDescent="0.3">
      <c r="A7" s="6" t="s">
        <v>337</v>
      </c>
      <c r="B7" s="4" t="s">
        <v>50</v>
      </c>
      <c r="C7" s="2"/>
      <c r="D7" s="2"/>
      <c r="E7" s="2"/>
      <c r="F7" s="2"/>
      <c r="G7" s="2"/>
      <c r="H7" s="2"/>
      <c r="I7" s="2"/>
      <c r="J7" s="4" t="str">
        <f t="shared" si="0"/>
        <v/>
      </c>
      <c r="K7" s="4" t="str">
        <f t="shared" si="1"/>
        <v/>
      </c>
      <c r="L7" s="4" t="str">
        <f t="shared" si="2"/>
        <v/>
      </c>
      <c r="M7" s="4" t="str">
        <f t="shared" si="3"/>
        <v/>
      </c>
      <c r="N7" s="2"/>
      <c r="O7" s="2"/>
      <c r="P7" s="2" t="s">
        <v>141</v>
      </c>
      <c r="Q7" s="9"/>
    </row>
    <row r="8" spans="1:17" x14ac:dyDescent="0.3">
      <c r="A8" s="6" t="s">
        <v>338</v>
      </c>
      <c r="B8" s="4" t="s">
        <v>50</v>
      </c>
      <c r="C8" s="2"/>
      <c r="D8" s="2"/>
      <c r="E8" s="2"/>
      <c r="F8" s="2"/>
      <c r="G8" s="2"/>
      <c r="H8" s="2"/>
      <c r="I8" s="2"/>
      <c r="J8" s="4" t="str">
        <f t="shared" si="0"/>
        <v/>
      </c>
      <c r="K8" s="4" t="str">
        <f t="shared" si="1"/>
        <v/>
      </c>
      <c r="L8" s="4" t="str">
        <f t="shared" si="2"/>
        <v/>
      </c>
      <c r="M8" s="4" t="str">
        <f t="shared" si="3"/>
        <v/>
      </c>
      <c r="N8" s="2"/>
      <c r="O8" s="2"/>
      <c r="P8" s="2" t="s">
        <v>141</v>
      </c>
      <c r="Q8" s="9"/>
    </row>
    <row r="9" spans="1:17" x14ac:dyDescent="0.3">
      <c r="A9" s="6" t="s">
        <v>339</v>
      </c>
      <c r="B9" s="4" t="s">
        <v>50</v>
      </c>
      <c r="C9" s="2"/>
      <c r="D9" s="2"/>
      <c r="E9" s="2"/>
      <c r="F9" s="2"/>
      <c r="G9" s="2"/>
      <c r="H9" s="2"/>
      <c r="I9" s="2"/>
      <c r="J9" s="4" t="str">
        <f t="shared" si="0"/>
        <v/>
      </c>
      <c r="K9" s="4" t="str">
        <f t="shared" si="1"/>
        <v/>
      </c>
      <c r="L9" s="4" t="str">
        <f t="shared" si="2"/>
        <v/>
      </c>
      <c r="M9" s="4" t="str">
        <f t="shared" si="3"/>
        <v/>
      </c>
      <c r="N9" s="2"/>
      <c r="O9" s="2"/>
      <c r="P9" s="2" t="s">
        <v>141</v>
      </c>
      <c r="Q9" s="9"/>
    </row>
    <row r="10" spans="1:17" x14ac:dyDescent="0.3">
      <c r="A10" s="6" t="s">
        <v>340</v>
      </c>
      <c r="B10" s="4" t="s">
        <v>50</v>
      </c>
      <c r="C10" s="2"/>
      <c r="D10" s="2"/>
      <c r="E10" s="2"/>
      <c r="F10" s="2"/>
      <c r="G10" s="2"/>
      <c r="H10" s="2"/>
      <c r="I10" s="2"/>
      <c r="J10" s="4" t="str">
        <f t="shared" si="0"/>
        <v/>
      </c>
      <c r="K10" s="4" t="str">
        <f t="shared" si="1"/>
        <v/>
      </c>
      <c r="L10" s="4" t="str">
        <f t="shared" si="2"/>
        <v/>
      </c>
      <c r="M10" s="4" t="str">
        <f t="shared" si="3"/>
        <v/>
      </c>
      <c r="N10" s="2"/>
      <c r="O10" s="2"/>
      <c r="P10" s="2" t="s">
        <v>141</v>
      </c>
      <c r="Q10" s="9"/>
    </row>
    <row r="11" spans="1:17" x14ac:dyDescent="0.3">
      <c r="A11" s="6" t="s">
        <v>341</v>
      </c>
      <c r="B11" s="4" t="s">
        <v>50</v>
      </c>
      <c r="C11" s="2"/>
      <c r="D11" s="2"/>
      <c r="E11" s="2"/>
      <c r="F11" s="2"/>
      <c r="G11" s="2"/>
      <c r="H11" s="2"/>
      <c r="I11" s="2"/>
      <c r="J11" s="4" t="str">
        <f t="shared" si="0"/>
        <v/>
      </c>
      <c r="K11" s="4" t="str">
        <f t="shared" si="1"/>
        <v/>
      </c>
      <c r="L11" s="4" t="str">
        <f t="shared" si="2"/>
        <v/>
      </c>
      <c r="M11" s="4" t="str">
        <f t="shared" si="3"/>
        <v/>
      </c>
      <c r="N11" s="2"/>
      <c r="O11" s="2"/>
      <c r="P11" s="2" t="s">
        <v>141</v>
      </c>
      <c r="Q11" s="9"/>
    </row>
    <row r="12" spans="1:17" x14ac:dyDescent="0.3">
      <c r="A12" s="6" t="s">
        <v>342</v>
      </c>
      <c r="B12" s="4" t="s">
        <v>50</v>
      </c>
      <c r="C12" s="2"/>
      <c r="D12" s="2"/>
      <c r="E12" s="2"/>
      <c r="F12" s="2"/>
      <c r="G12" s="2"/>
      <c r="H12" s="2"/>
      <c r="I12" s="2"/>
      <c r="J12" s="4" t="str">
        <f t="shared" si="0"/>
        <v/>
      </c>
      <c r="K12" s="4" t="str">
        <f t="shared" si="1"/>
        <v/>
      </c>
      <c r="L12" s="4" t="str">
        <f t="shared" si="2"/>
        <v/>
      </c>
      <c r="M12" s="4" t="str">
        <f t="shared" si="3"/>
        <v/>
      </c>
      <c r="N12" s="2"/>
      <c r="O12" s="2"/>
      <c r="P12" s="2" t="s">
        <v>141</v>
      </c>
      <c r="Q12" s="9"/>
    </row>
    <row r="13" spans="1:17" x14ac:dyDescent="0.3">
      <c r="A13" s="6" t="s">
        <v>343</v>
      </c>
      <c r="B13" s="4" t="s">
        <v>50</v>
      </c>
      <c r="C13" s="2"/>
      <c r="D13" s="2"/>
      <c r="E13" s="2"/>
      <c r="F13" s="2"/>
      <c r="G13" s="2"/>
      <c r="H13" s="2"/>
      <c r="I13" s="2"/>
      <c r="J13" s="4" t="str">
        <f t="shared" si="0"/>
        <v/>
      </c>
      <c r="K13" s="4" t="str">
        <f t="shared" si="1"/>
        <v/>
      </c>
      <c r="L13" s="4" t="str">
        <f t="shared" si="2"/>
        <v/>
      </c>
      <c r="M13" s="4" t="str">
        <f t="shared" si="3"/>
        <v/>
      </c>
      <c r="N13" s="2"/>
      <c r="O13" s="2"/>
      <c r="P13" s="2" t="s">
        <v>141</v>
      </c>
      <c r="Q13" s="9"/>
    </row>
    <row r="14" spans="1:17" x14ac:dyDescent="0.3">
      <c r="A14" s="6" t="s">
        <v>344</v>
      </c>
      <c r="B14" s="4" t="s">
        <v>50</v>
      </c>
      <c r="C14" s="2"/>
      <c r="D14" s="2"/>
      <c r="E14" s="2"/>
      <c r="F14" s="2"/>
      <c r="G14" s="2"/>
      <c r="H14" s="2"/>
      <c r="I14" s="2"/>
      <c r="J14" s="4" t="str">
        <f t="shared" si="0"/>
        <v/>
      </c>
      <c r="K14" s="4" t="str">
        <f t="shared" si="1"/>
        <v/>
      </c>
      <c r="L14" s="4" t="str">
        <f t="shared" si="2"/>
        <v/>
      </c>
      <c r="M14" s="4" t="str">
        <f t="shared" si="3"/>
        <v/>
      </c>
      <c r="N14" s="2"/>
      <c r="O14" s="2"/>
      <c r="P14" s="2" t="s">
        <v>141</v>
      </c>
      <c r="Q14" s="9"/>
    </row>
    <row r="15" spans="1:17" x14ac:dyDescent="0.3">
      <c r="A15" s="6" t="s">
        <v>345</v>
      </c>
      <c r="B15" s="4" t="s">
        <v>50</v>
      </c>
      <c r="C15" s="2"/>
      <c r="D15" s="2"/>
      <c r="E15" s="2"/>
      <c r="F15" s="2"/>
      <c r="G15" s="2"/>
      <c r="H15" s="2"/>
      <c r="I15" s="2"/>
      <c r="J15" s="4" t="str">
        <f t="shared" si="0"/>
        <v/>
      </c>
      <c r="K15" s="4" t="str">
        <f t="shared" si="1"/>
        <v/>
      </c>
      <c r="L15" s="4" t="str">
        <f t="shared" si="2"/>
        <v/>
      </c>
      <c r="M15" s="4" t="str">
        <f t="shared" si="3"/>
        <v/>
      </c>
      <c r="N15" s="2"/>
      <c r="O15" s="2"/>
      <c r="P15" s="2" t="s">
        <v>141</v>
      </c>
      <c r="Q15" s="9"/>
    </row>
    <row r="16" spans="1:17" x14ac:dyDescent="0.3">
      <c r="A16" s="6" t="s">
        <v>346</v>
      </c>
      <c r="B16" s="4" t="s">
        <v>50</v>
      </c>
      <c r="C16" s="2"/>
      <c r="D16" s="2"/>
      <c r="E16" s="2"/>
      <c r="F16" s="2"/>
      <c r="G16" s="2"/>
      <c r="H16" s="2"/>
      <c r="I16" s="2"/>
      <c r="J16" s="4" t="str">
        <f t="shared" si="0"/>
        <v/>
      </c>
      <c r="K16" s="4" t="str">
        <f t="shared" si="1"/>
        <v/>
      </c>
      <c r="L16" s="4" t="str">
        <f t="shared" si="2"/>
        <v/>
      </c>
      <c r="M16" s="4" t="str">
        <f t="shared" si="3"/>
        <v/>
      </c>
      <c r="N16" s="2"/>
      <c r="O16" s="2"/>
      <c r="P16" s="2" t="s">
        <v>141</v>
      </c>
      <c r="Q16" s="9"/>
    </row>
    <row r="17" spans="1:17" x14ac:dyDescent="0.3">
      <c r="A17" s="6" t="s">
        <v>347</v>
      </c>
      <c r="B17" s="4" t="s">
        <v>50</v>
      </c>
      <c r="C17" s="2"/>
      <c r="D17" s="2"/>
      <c r="E17" s="2"/>
      <c r="F17" s="2"/>
      <c r="G17" s="2"/>
      <c r="H17" s="2"/>
      <c r="I17" s="2"/>
      <c r="J17" s="4" t="str">
        <f t="shared" si="0"/>
        <v/>
      </c>
      <c r="K17" s="4" t="str">
        <f t="shared" si="1"/>
        <v/>
      </c>
      <c r="L17" s="4" t="str">
        <f t="shared" si="2"/>
        <v/>
      </c>
      <c r="M17" s="4" t="str">
        <f t="shared" si="3"/>
        <v/>
      </c>
      <c r="N17" s="2"/>
      <c r="O17" s="2"/>
      <c r="P17" s="2" t="s">
        <v>141</v>
      </c>
      <c r="Q17" s="9"/>
    </row>
    <row r="18" spans="1:17" x14ac:dyDescent="0.3">
      <c r="A18" s="6" t="s">
        <v>348</v>
      </c>
      <c r="B18" s="4" t="s">
        <v>50</v>
      </c>
      <c r="C18" s="2"/>
      <c r="D18" s="2"/>
      <c r="E18" s="2"/>
      <c r="F18" s="2"/>
      <c r="G18" s="2"/>
      <c r="H18" s="2"/>
      <c r="I18" s="2"/>
      <c r="J18" s="4" t="str">
        <f t="shared" si="0"/>
        <v/>
      </c>
      <c r="K18" s="4" t="str">
        <f t="shared" si="1"/>
        <v/>
      </c>
      <c r="L18" s="4" t="str">
        <f t="shared" si="2"/>
        <v/>
      </c>
      <c r="M18" s="4" t="str">
        <f t="shared" si="3"/>
        <v/>
      </c>
      <c r="N18" s="2"/>
      <c r="O18" s="2"/>
      <c r="P18" s="2" t="s">
        <v>141</v>
      </c>
      <c r="Q18" s="9"/>
    </row>
    <row r="19" spans="1:17" x14ac:dyDescent="0.3">
      <c r="A19" s="6" t="s">
        <v>349</v>
      </c>
      <c r="B19" s="4" t="s">
        <v>50</v>
      </c>
      <c r="C19" s="2"/>
      <c r="D19" s="2"/>
      <c r="E19" s="2"/>
      <c r="F19" s="2"/>
      <c r="G19" s="2"/>
      <c r="H19" s="2"/>
      <c r="I19" s="2"/>
      <c r="J19" s="4" t="str">
        <f t="shared" si="0"/>
        <v/>
      </c>
      <c r="K19" s="4" t="str">
        <f t="shared" si="1"/>
        <v/>
      </c>
      <c r="L19" s="4" t="str">
        <f t="shared" si="2"/>
        <v/>
      </c>
      <c r="M19" s="4" t="str">
        <f t="shared" si="3"/>
        <v/>
      </c>
      <c r="N19" s="2"/>
      <c r="O19" s="2"/>
      <c r="P19" s="2" t="s">
        <v>141</v>
      </c>
      <c r="Q19" s="9"/>
    </row>
    <row r="20" spans="1:17" x14ac:dyDescent="0.3">
      <c r="A20" s="6" t="s">
        <v>350</v>
      </c>
      <c r="B20" s="4" t="s">
        <v>50</v>
      </c>
      <c r="C20" s="2"/>
      <c r="D20" s="2"/>
      <c r="E20" s="2"/>
      <c r="F20" s="2"/>
      <c r="G20" s="2"/>
      <c r="H20" s="2"/>
      <c r="I20" s="2"/>
      <c r="J20" s="4" t="str">
        <f t="shared" si="0"/>
        <v/>
      </c>
      <c r="K20" s="4" t="str">
        <f t="shared" si="1"/>
        <v/>
      </c>
      <c r="L20" s="4" t="str">
        <f t="shared" si="2"/>
        <v/>
      </c>
      <c r="M20" s="4" t="str">
        <f t="shared" si="3"/>
        <v/>
      </c>
      <c r="N20" s="2"/>
      <c r="O20" s="2"/>
      <c r="P20" s="2" t="s">
        <v>141</v>
      </c>
      <c r="Q20" s="9"/>
    </row>
    <row r="21" spans="1:17" x14ac:dyDescent="0.3">
      <c r="A21" s="6" t="s">
        <v>351</v>
      </c>
      <c r="B21" s="4" t="s">
        <v>50</v>
      </c>
      <c r="C21" s="2"/>
      <c r="D21" s="2"/>
      <c r="E21" s="2"/>
      <c r="F21" s="2"/>
      <c r="G21" s="2"/>
      <c r="H21" s="2"/>
      <c r="I21" s="2"/>
      <c r="J21" s="4" t="str">
        <f t="shared" si="0"/>
        <v/>
      </c>
      <c r="K21" s="4" t="str">
        <f t="shared" si="1"/>
        <v/>
      </c>
      <c r="L21" s="4" t="str">
        <f t="shared" si="2"/>
        <v/>
      </c>
      <c r="M21" s="4" t="str">
        <f t="shared" si="3"/>
        <v/>
      </c>
      <c r="N21" s="2"/>
      <c r="O21" s="2"/>
      <c r="P21" s="2" t="s">
        <v>141</v>
      </c>
      <c r="Q21" s="9"/>
    </row>
    <row r="22" spans="1:17" x14ac:dyDescent="0.3">
      <c r="A22" s="6" t="s">
        <v>352</v>
      </c>
      <c r="B22" s="4" t="s">
        <v>50</v>
      </c>
      <c r="C22" s="2"/>
      <c r="D22" s="2"/>
      <c r="E22" s="2"/>
      <c r="F22" s="2"/>
      <c r="G22" s="2"/>
      <c r="H22" s="2"/>
      <c r="I22" s="2"/>
      <c r="J22" s="4" t="str">
        <f t="shared" si="0"/>
        <v/>
      </c>
      <c r="K22" s="4" t="str">
        <f t="shared" si="1"/>
        <v/>
      </c>
      <c r="L22" s="4" t="str">
        <f t="shared" si="2"/>
        <v/>
      </c>
      <c r="M22" s="4" t="str">
        <f t="shared" si="3"/>
        <v/>
      </c>
      <c r="N22" s="2"/>
      <c r="O22" s="2"/>
      <c r="P22" s="2" t="s">
        <v>141</v>
      </c>
      <c r="Q22" s="9"/>
    </row>
    <row r="23" spans="1:17" x14ac:dyDescent="0.3">
      <c r="A23" s="6" t="s">
        <v>353</v>
      </c>
      <c r="B23" s="4" t="s">
        <v>50</v>
      </c>
      <c r="C23" s="2"/>
      <c r="D23" s="2"/>
      <c r="E23" s="2"/>
      <c r="F23" s="2"/>
      <c r="G23" s="2"/>
      <c r="H23" s="2"/>
      <c r="I23" s="2"/>
      <c r="J23" s="4" t="str">
        <f t="shared" si="0"/>
        <v/>
      </c>
      <c r="K23" s="4" t="str">
        <f t="shared" si="1"/>
        <v/>
      </c>
      <c r="L23" s="4" t="str">
        <f t="shared" si="2"/>
        <v/>
      </c>
      <c r="M23" s="4" t="str">
        <f t="shared" si="3"/>
        <v/>
      </c>
      <c r="N23" s="2"/>
      <c r="O23" s="2"/>
      <c r="P23" s="2" t="s">
        <v>141</v>
      </c>
      <c r="Q23" s="9"/>
    </row>
    <row r="24" spans="1:17" x14ac:dyDescent="0.3">
      <c r="A24" s="11" t="s">
        <v>354</v>
      </c>
      <c r="B24" s="15" t="s">
        <v>50</v>
      </c>
      <c r="C24" s="12"/>
      <c r="D24" s="12"/>
      <c r="E24" s="12"/>
      <c r="F24" s="12"/>
      <c r="G24" s="12"/>
      <c r="H24" s="12"/>
      <c r="I24" s="12"/>
      <c r="J24" s="15" t="str">
        <f t="shared" si="0"/>
        <v/>
      </c>
      <c r="K24" s="15" t="str">
        <f t="shared" si="1"/>
        <v/>
      </c>
      <c r="L24" s="15" t="str">
        <f t="shared" si="2"/>
        <v/>
      </c>
      <c r="M24" s="15" t="str">
        <f t="shared" si="3"/>
        <v/>
      </c>
      <c r="N24" s="12"/>
      <c r="O24" s="12"/>
      <c r="P24" s="12" t="s">
        <v>141</v>
      </c>
      <c r="Q24" s="13"/>
    </row>
  </sheetData>
  <mergeCells count="2">
    <mergeCell ref="A1:Q1"/>
    <mergeCell ref="A2:Q2"/>
  </mergeCells>
  <conditionalFormatting sqref="P5:P24">
    <cfRule type="cellIs" dxfId="11" priority="1" stopIfTrue="1" operator="equal">
      <formula>"PASS"</formula>
    </cfRule>
    <cfRule type="cellIs" dxfId="10" priority="2" stopIfTrue="1" operator="equal">
      <formula>"FAIL"</formula>
    </cfRule>
    <cfRule type="cellIs" dxfId="9" priority="3" stopIfTrue="1" operator="equal">
      <formula>"BLOCKED"</formula>
    </cfRule>
    <cfRule type="cellIs" dxfId="8" priority="4" stopIfTrue="1" operator="equal">
      <formula>"ABORTED"</formula>
    </cfRule>
  </conditionalFormatting>
  <dataValidations count="1">
    <dataValidation type="list" allowBlank="1" showInputMessage="1" showErrorMessage="1" sqref="P5:P24" xr:uid="{E9FED745-1781-4552-B0F0-5971D80D5895}">
      <formula1>"""NOT_RUN,IN_PROGRESS,PASS,FAIL,BLOCKED,ABORTED,INVALID_DATA,NOT_APPLICABLE"""</formula1>
    </dataValidation>
  </dataValidations>
  <pageMargins left="0.25" right="0.25" top="0.35" bottom="0.35" header="0.3" footer="0.3"/>
  <pageSetup orientation="landscape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46F11-2CA3-4C1F-987F-15588F7D11EF}">
  <dimension ref="A1:V64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10" defaultColWidth="18.77734375" defaultRowHeight="14.4" x14ac:dyDescent="0.3"/>
  <cols>
    <col min="19" max="19" width="28.77734375" customWidth="1"/>
    <col min="20" max="20" width="35.77734375" customWidth="1"/>
  </cols>
  <sheetData>
    <row r="1" spans="1:22" ht="30" customHeight="1" x14ac:dyDescent="0.3">
      <c r="A1" s="19" t="s">
        <v>355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ht="36" customHeight="1" x14ac:dyDescent="0.3">
      <c r="A2" s="20" t="s">
        <v>356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4" spans="1:22" ht="31.95" customHeight="1" x14ac:dyDescent="0.3">
      <c r="A4" s="7" t="s">
        <v>357</v>
      </c>
      <c r="B4" s="8" t="s">
        <v>358</v>
      </c>
      <c r="C4" s="8" t="s">
        <v>359</v>
      </c>
      <c r="D4" s="8" t="s">
        <v>360</v>
      </c>
      <c r="E4" s="8" t="s">
        <v>361</v>
      </c>
      <c r="F4" s="8" t="s">
        <v>362</v>
      </c>
      <c r="G4" s="8" t="s">
        <v>363</v>
      </c>
      <c r="H4" s="8" t="s">
        <v>364</v>
      </c>
      <c r="I4" s="8" t="s">
        <v>365</v>
      </c>
      <c r="J4" s="8" t="s">
        <v>238</v>
      </c>
      <c r="K4" s="8" t="s">
        <v>49</v>
      </c>
      <c r="L4" s="8" t="s">
        <v>366</v>
      </c>
      <c r="M4" s="8" t="s">
        <v>367</v>
      </c>
      <c r="N4" s="8" t="s">
        <v>368</v>
      </c>
      <c r="O4" s="8" t="s">
        <v>369</v>
      </c>
      <c r="P4" s="8" t="s">
        <v>370</v>
      </c>
      <c r="Q4" s="8" t="s">
        <v>371</v>
      </c>
      <c r="R4" s="8" t="s">
        <v>372</v>
      </c>
      <c r="S4" s="8" t="s">
        <v>179</v>
      </c>
      <c r="T4" s="8" t="s">
        <v>181</v>
      </c>
      <c r="U4" s="8" t="s">
        <v>373</v>
      </c>
      <c r="V4" s="10" t="s">
        <v>374</v>
      </c>
    </row>
    <row r="5" spans="1:22" x14ac:dyDescent="0.3">
      <c r="A5" s="17"/>
      <c r="B5" s="2"/>
      <c r="C5" s="2"/>
      <c r="D5" s="2"/>
      <c r="E5" s="2"/>
      <c r="F5" s="2"/>
      <c r="G5" s="2"/>
      <c r="H5" s="2"/>
      <c r="I5" s="2"/>
      <c r="J5" s="4" t="s">
        <v>375</v>
      </c>
      <c r="K5" s="4" t="s">
        <v>50</v>
      </c>
      <c r="L5" s="2"/>
      <c r="M5" s="2"/>
      <c r="N5" s="2"/>
      <c r="O5" s="2"/>
      <c r="P5" s="2"/>
      <c r="Q5" s="2"/>
      <c r="R5" s="2"/>
      <c r="S5" s="2"/>
      <c r="T5" s="2"/>
      <c r="U5" s="4" t="str">
        <f t="shared" ref="U5:U36" si="0">IF(OR(F5="",G5=""),"",ABS(G5-F5))</f>
        <v/>
      </c>
      <c r="V5" s="14" t="str">
        <f>IF(A5="","",IF(AND(U5&lt;=CONFIG!B11,H5&gt;=CONFIG!B12),"PASS","FAIL"))</f>
        <v/>
      </c>
    </row>
    <row r="6" spans="1:22" x14ac:dyDescent="0.3">
      <c r="A6" s="17"/>
      <c r="B6" s="2"/>
      <c r="C6" s="2"/>
      <c r="D6" s="2"/>
      <c r="E6" s="2"/>
      <c r="F6" s="2"/>
      <c r="G6" s="2"/>
      <c r="H6" s="2"/>
      <c r="I6" s="2"/>
      <c r="J6" s="4" t="s">
        <v>376</v>
      </c>
      <c r="K6" s="4" t="s">
        <v>50</v>
      </c>
      <c r="L6" s="2"/>
      <c r="M6" s="2"/>
      <c r="N6" s="2"/>
      <c r="O6" s="2"/>
      <c r="P6" s="2"/>
      <c r="Q6" s="2"/>
      <c r="R6" s="2"/>
      <c r="S6" s="2"/>
      <c r="T6" s="2"/>
      <c r="U6" s="4" t="str">
        <f t="shared" si="0"/>
        <v/>
      </c>
      <c r="V6" s="14" t="str">
        <f>IF(A6="","",IF(AND(U6&lt;=CONFIG!B11,H6&gt;=CONFIG!B12),"PASS","FAIL"))</f>
        <v/>
      </c>
    </row>
    <row r="7" spans="1:22" x14ac:dyDescent="0.3">
      <c r="A7" s="17"/>
      <c r="B7" s="2"/>
      <c r="C7" s="2"/>
      <c r="D7" s="2"/>
      <c r="E7" s="2"/>
      <c r="F7" s="2"/>
      <c r="G7" s="2"/>
      <c r="H7" s="2"/>
      <c r="I7" s="2"/>
      <c r="J7" s="4" t="s">
        <v>377</v>
      </c>
      <c r="K7" s="4" t="s">
        <v>50</v>
      </c>
      <c r="L7" s="2"/>
      <c r="M7" s="2"/>
      <c r="N7" s="2"/>
      <c r="O7" s="2"/>
      <c r="P7" s="2"/>
      <c r="Q7" s="2"/>
      <c r="R7" s="2"/>
      <c r="S7" s="2"/>
      <c r="T7" s="2"/>
      <c r="U7" s="4" t="str">
        <f t="shared" si="0"/>
        <v/>
      </c>
      <c r="V7" s="14" t="str">
        <f>IF(A7="","",IF(AND(U7&lt;=CONFIG!B11,H7&gt;=CONFIG!B12),"PASS","FAIL"))</f>
        <v/>
      </c>
    </row>
    <row r="8" spans="1:22" x14ac:dyDescent="0.3">
      <c r="A8" s="17"/>
      <c r="B8" s="2"/>
      <c r="C8" s="2"/>
      <c r="D8" s="2"/>
      <c r="E8" s="2"/>
      <c r="F8" s="2"/>
      <c r="G8" s="2"/>
      <c r="H8" s="2"/>
      <c r="I8" s="2"/>
      <c r="J8" s="4" t="s">
        <v>378</v>
      </c>
      <c r="K8" s="4" t="s">
        <v>50</v>
      </c>
      <c r="L8" s="2"/>
      <c r="M8" s="2"/>
      <c r="N8" s="2"/>
      <c r="O8" s="2"/>
      <c r="P8" s="2"/>
      <c r="Q8" s="2"/>
      <c r="R8" s="2"/>
      <c r="S8" s="2"/>
      <c r="T8" s="2"/>
      <c r="U8" s="4" t="str">
        <f t="shared" si="0"/>
        <v/>
      </c>
      <c r="V8" s="14" t="str">
        <f>IF(A8="","",IF(AND(U8&lt;=CONFIG!B11,H8&gt;=CONFIG!B12),"PASS","FAIL"))</f>
        <v/>
      </c>
    </row>
    <row r="9" spans="1:22" x14ac:dyDescent="0.3">
      <c r="A9" s="17"/>
      <c r="B9" s="2"/>
      <c r="C9" s="2"/>
      <c r="D9" s="2"/>
      <c r="E9" s="2"/>
      <c r="F9" s="2"/>
      <c r="G9" s="2"/>
      <c r="H9" s="2"/>
      <c r="I9" s="2"/>
      <c r="J9" s="4" t="s">
        <v>379</v>
      </c>
      <c r="K9" s="4" t="s">
        <v>50</v>
      </c>
      <c r="L9" s="2"/>
      <c r="M9" s="2"/>
      <c r="N9" s="2"/>
      <c r="O9" s="2"/>
      <c r="P9" s="2"/>
      <c r="Q9" s="2"/>
      <c r="R9" s="2"/>
      <c r="S9" s="2"/>
      <c r="T9" s="2"/>
      <c r="U9" s="4" t="str">
        <f t="shared" si="0"/>
        <v/>
      </c>
      <c r="V9" s="14" t="str">
        <f>IF(A9="","",IF(AND(U9&lt;=CONFIG!B11,H9&gt;=CONFIG!B12),"PASS","FAIL"))</f>
        <v/>
      </c>
    </row>
    <row r="10" spans="1:22" x14ac:dyDescent="0.3">
      <c r="A10" s="17"/>
      <c r="B10" s="2"/>
      <c r="C10" s="2"/>
      <c r="D10" s="2"/>
      <c r="E10" s="2"/>
      <c r="F10" s="2"/>
      <c r="G10" s="2"/>
      <c r="H10" s="2"/>
      <c r="I10" s="2"/>
      <c r="J10" s="4" t="s">
        <v>380</v>
      </c>
      <c r="K10" s="4" t="s">
        <v>50</v>
      </c>
      <c r="L10" s="2"/>
      <c r="M10" s="2"/>
      <c r="N10" s="2"/>
      <c r="O10" s="2"/>
      <c r="P10" s="2"/>
      <c r="Q10" s="2"/>
      <c r="R10" s="2"/>
      <c r="S10" s="2"/>
      <c r="T10" s="2"/>
      <c r="U10" s="4" t="str">
        <f t="shared" si="0"/>
        <v/>
      </c>
      <c r="V10" s="14" t="str">
        <f>IF(A10="","",IF(AND(U10&lt;=CONFIG!B11,H10&gt;=CONFIG!B12),"PASS","FAIL"))</f>
        <v/>
      </c>
    </row>
    <row r="11" spans="1:22" x14ac:dyDescent="0.3">
      <c r="A11" s="17"/>
      <c r="B11" s="2"/>
      <c r="C11" s="2"/>
      <c r="D11" s="2"/>
      <c r="E11" s="2"/>
      <c r="F11" s="2"/>
      <c r="G11" s="2"/>
      <c r="H11" s="2"/>
      <c r="I11" s="2"/>
      <c r="J11" s="4" t="s">
        <v>381</v>
      </c>
      <c r="K11" s="4" t="s">
        <v>50</v>
      </c>
      <c r="L11" s="2"/>
      <c r="M11" s="2"/>
      <c r="N11" s="2"/>
      <c r="O11" s="2"/>
      <c r="P11" s="2"/>
      <c r="Q11" s="2"/>
      <c r="R11" s="2"/>
      <c r="S11" s="2"/>
      <c r="T11" s="2"/>
      <c r="U11" s="4" t="str">
        <f t="shared" si="0"/>
        <v/>
      </c>
      <c r="V11" s="14" t="str">
        <f>IF(A11="","",IF(AND(U11&lt;=CONFIG!B11,H11&gt;=CONFIG!B12),"PASS","FAIL"))</f>
        <v/>
      </c>
    </row>
    <row r="12" spans="1:22" x14ac:dyDescent="0.3">
      <c r="A12" s="17"/>
      <c r="B12" s="2"/>
      <c r="C12" s="2"/>
      <c r="D12" s="2"/>
      <c r="E12" s="2"/>
      <c r="F12" s="2"/>
      <c r="G12" s="2"/>
      <c r="H12" s="2"/>
      <c r="I12" s="2"/>
      <c r="J12" s="4" t="s">
        <v>382</v>
      </c>
      <c r="K12" s="4" t="s">
        <v>50</v>
      </c>
      <c r="L12" s="2"/>
      <c r="M12" s="2"/>
      <c r="N12" s="2"/>
      <c r="O12" s="2"/>
      <c r="P12" s="2"/>
      <c r="Q12" s="2"/>
      <c r="R12" s="2"/>
      <c r="S12" s="2"/>
      <c r="T12" s="2"/>
      <c r="U12" s="4" t="str">
        <f t="shared" si="0"/>
        <v/>
      </c>
      <c r="V12" s="14" t="str">
        <f>IF(A12="","",IF(AND(U12&lt;=CONFIG!B11,H12&gt;=CONFIG!B12),"PASS","FAIL"))</f>
        <v/>
      </c>
    </row>
    <row r="13" spans="1:22" x14ac:dyDescent="0.3">
      <c r="A13" s="17"/>
      <c r="B13" s="2"/>
      <c r="C13" s="2"/>
      <c r="D13" s="2"/>
      <c r="E13" s="2"/>
      <c r="F13" s="2"/>
      <c r="G13" s="2"/>
      <c r="H13" s="2"/>
      <c r="I13" s="2"/>
      <c r="J13" s="4" t="s">
        <v>383</v>
      </c>
      <c r="K13" s="4" t="s">
        <v>50</v>
      </c>
      <c r="L13" s="2"/>
      <c r="M13" s="2"/>
      <c r="N13" s="2"/>
      <c r="O13" s="2"/>
      <c r="P13" s="2"/>
      <c r="Q13" s="2"/>
      <c r="R13" s="2"/>
      <c r="S13" s="2"/>
      <c r="T13" s="2"/>
      <c r="U13" s="4" t="str">
        <f t="shared" si="0"/>
        <v/>
      </c>
      <c r="V13" s="14" t="str">
        <f>IF(A13="","",IF(AND(U13&lt;=CONFIG!B11,H13&gt;=CONFIG!B12),"PASS","FAIL"))</f>
        <v/>
      </c>
    </row>
    <row r="14" spans="1:22" x14ac:dyDescent="0.3">
      <c r="A14" s="17"/>
      <c r="B14" s="2"/>
      <c r="C14" s="2"/>
      <c r="D14" s="2"/>
      <c r="E14" s="2"/>
      <c r="F14" s="2"/>
      <c r="G14" s="2"/>
      <c r="H14" s="2"/>
      <c r="I14" s="2"/>
      <c r="J14" s="4" t="s">
        <v>384</v>
      </c>
      <c r="K14" s="4" t="s">
        <v>50</v>
      </c>
      <c r="L14" s="2"/>
      <c r="M14" s="2"/>
      <c r="N14" s="2"/>
      <c r="O14" s="2"/>
      <c r="P14" s="2"/>
      <c r="Q14" s="2"/>
      <c r="R14" s="2"/>
      <c r="S14" s="2"/>
      <c r="T14" s="2"/>
      <c r="U14" s="4" t="str">
        <f t="shared" si="0"/>
        <v/>
      </c>
      <c r="V14" s="14" t="str">
        <f>IF(A14="","",IF(AND(U14&lt;=CONFIG!B11,H14&gt;=CONFIG!B12),"PASS","FAIL"))</f>
        <v/>
      </c>
    </row>
    <row r="15" spans="1:22" x14ac:dyDescent="0.3">
      <c r="A15" s="17"/>
      <c r="B15" s="2"/>
      <c r="C15" s="2"/>
      <c r="D15" s="2"/>
      <c r="E15" s="2"/>
      <c r="F15" s="2"/>
      <c r="G15" s="2"/>
      <c r="H15" s="2"/>
      <c r="I15" s="2"/>
      <c r="J15" s="4" t="s">
        <v>385</v>
      </c>
      <c r="K15" s="4" t="s">
        <v>50</v>
      </c>
      <c r="L15" s="2"/>
      <c r="M15" s="2"/>
      <c r="N15" s="2"/>
      <c r="O15" s="2"/>
      <c r="P15" s="2"/>
      <c r="Q15" s="2"/>
      <c r="R15" s="2"/>
      <c r="S15" s="2"/>
      <c r="T15" s="2"/>
      <c r="U15" s="4" t="str">
        <f t="shared" si="0"/>
        <v/>
      </c>
      <c r="V15" s="14" t="str">
        <f>IF(A15="","",IF(AND(U15&lt;=CONFIG!B11,H15&gt;=CONFIG!B12),"PASS","FAIL"))</f>
        <v/>
      </c>
    </row>
    <row r="16" spans="1:22" x14ac:dyDescent="0.3">
      <c r="A16" s="17"/>
      <c r="B16" s="2"/>
      <c r="C16" s="2"/>
      <c r="D16" s="2"/>
      <c r="E16" s="2"/>
      <c r="F16" s="2"/>
      <c r="G16" s="2"/>
      <c r="H16" s="2"/>
      <c r="I16" s="2"/>
      <c r="J16" s="4" t="s">
        <v>386</v>
      </c>
      <c r="K16" s="4" t="s">
        <v>50</v>
      </c>
      <c r="L16" s="2"/>
      <c r="M16" s="2"/>
      <c r="N16" s="2"/>
      <c r="O16" s="2"/>
      <c r="P16" s="2"/>
      <c r="Q16" s="2"/>
      <c r="R16" s="2"/>
      <c r="S16" s="2"/>
      <c r="T16" s="2"/>
      <c r="U16" s="4" t="str">
        <f t="shared" si="0"/>
        <v/>
      </c>
      <c r="V16" s="14" t="str">
        <f>IF(A16="","",IF(AND(U16&lt;=CONFIG!B11,H16&gt;=CONFIG!B12),"PASS","FAIL"))</f>
        <v/>
      </c>
    </row>
    <row r="17" spans="1:22" x14ac:dyDescent="0.3">
      <c r="A17" s="17"/>
      <c r="B17" s="2"/>
      <c r="C17" s="2"/>
      <c r="D17" s="2"/>
      <c r="E17" s="2"/>
      <c r="F17" s="2"/>
      <c r="G17" s="2"/>
      <c r="H17" s="2"/>
      <c r="I17" s="2"/>
      <c r="J17" s="4" t="s">
        <v>387</v>
      </c>
      <c r="K17" s="4" t="s">
        <v>50</v>
      </c>
      <c r="L17" s="2"/>
      <c r="M17" s="2"/>
      <c r="N17" s="2"/>
      <c r="O17" s="2"/>
      <c r="P17" s="2"/>
      <c r="Q17" s="2"/>
      <c r="R17" s="2"/>
      <c r="S17" s="2"/>
      <c r="T17" s="2"/>
      <c r="U17" s="4" t="str">
        <f t="shared" si="0"/>
        <v/>
      </c>
      <c r="V17" s="14" t="str">
        <f>IF(A17="","",IF(AND(U17&lt;=CONFIG!B11,H17&gt;=CONFIG!B12),"PASS","FAIL"))</f>
        <v/>
      </c>
    </row>
    <row r="18" spans="1:22" x14ac:dyDescent="0.3">
      <c r="A18" s="17"/>
      <c r="B18" s="2"/>
      <c r="C18" s="2"/>
      <c r="D18" s="2"/>
      <c r="E18" s="2"/>
      <c r="F18" s="2"/>
      <c r="G18" s="2"/>
      <c r="H18" s="2"/>
      <c r="I18" s="2"/>
      <c r="J18" s="4" t="s">
        <v>388</v>
      </c>
      <c r="K18" s="4" t="s">
        <v>50</v>
      </c>
      <c r="L18" s="2"/>
      <c r="M18" s="2"/>
      <c r="N18" s="2"/>
      <c r="O18" s="2"/>
      <c r="P18" s="2"/>
      <c r="Q18" s="2"/>
      <c r="R18" s="2"/>
      <c r="S18" s="2"/>
      <c r="T18" s="2"/>
      <c r="U18" s="4" t="str">
        <f t="shared" si="0"/>
        <v/>
      </c>
      <c r="V18" s="14" t="str">
        <f>IF(A18="","",IF(AND(U18&lt;=CONFIG!B11,H18&gt;=CONFIG!B12),"PASS","FAIL"))</f>
        <v/>
      </c>
    </row>
    <row r="19" spans="1:22" x14ac:dyDescent="0.3">
      <c r="A19" s="17"/>
      <c r="B19" s="2"/>
      <c r="C19" s="2"/>
      <c r="D19" s="2"/>
      <c r="E19" s="2"/>
      <c r="F19" s="2"/>
      <c r="G19" s="2"/>
      <c r="H19" s="2"/>
      <c r="I19" s="2"/>
      <c r="J19" s="4" t="s">
        <v>389</v>
      </c>
      <c r="K19" s="4" t="s">
        <v>50</v>
      </c>
      <c r="L19" s="2"/>
      <c r="M19" s="2"/>
      <c r="N19" s="2"/>
      <c r="O19" s="2"/>
      <c r="P19" s="2"/>
      <c r="Q19" s="2"/>
      <c r="R19" s="2"/>
      <c r="S19" s="2"/>
      <c r="T19" s="2"/>
      <c r="U19" s="4" t="str">
        <f t="shared" si="0"/>
        <v/>
      </c>
      <c r="V19" s="14" t="str">
        <f>IF(A19="","",IF(AND(U19&lt;=CONFIG!B11,H19&gt;=CONFIG!B12),"PASS","FAIL"))</f>
        <v/>
      </c>
    </row>
    <row r="20" spans="1:22" x14ac:dyDescent="0.3">
      <c r="A20" s="17"/>
      <c r="B20" s="2"/>
      <c r="C20" s="2"/>
      <c r="D20" s="2"/>
      <c r="E20" s="2"/>
      <c r="F20" s="2"/>
      <c r="G20" s="2"/>
      <c r="H20" s="2"/>
      <c r="I20" s="2"/>
      <c r="J20" s="4" t="s">
        <v>390</v>
      </c>
      <c r="K20" s="4" t="s">
        <v>50</v>
      </c>
      <c r="L20" s="2"/>
      <c r="M20" s="2"/>
      <c r="N20" s="2"/>
      <c r="O20" s="2"/>
      <c r="P20" s="2"/>
      <c r="Q20" s="2"/>
      <c r="R20" s="2"/>
      <c r="S20" s="2"/>
      <c r="T20" s="2"/>
      <c r="U20" s="4" t="str">
        <f t="shared" si="0"/>
        <v/>
      </c>
      <c r="V20" s="14" t="str">
        <f>IF(A20="","",IF(AND(U20&lt;=CONFIG!B11,H20&gt;=CONFIG!B12),"PASS","FAIL"))</f>
        <v/>
      </c>
    </row>
    <row r="21" spans="1:22" x14ac:dyDescent="0.3">
      <c r="A21" s="17"/>
      <c r="B21" s="2"/>
      <c r="C21" s="2"/>
      <c r="D21" s="2"/>
      <c r="E21" s="2"/>
      <c r="F21" s="2"/>
      <c r="G21" s="2"/>
      <c r="H21" s="2"/>
      <c r="I21" s="2"/>
      <c r="J21" s="4" t="s">
        <v>391</v>
      </c>
      <c r="K21" s="4" t="s">
        <v>50</v>
      </c>
      <c r="L21" s="2"/>
      <c r="M21" s="2"/>
      <c r="N21" s="2"/>
      <c r="O21" s="2"/>
      <c r="P21" s="2"/>
      <c r="Q21" s="2"/>
      <c r="R21" s="2"/>
      <c r="S21" s="2"/>
      <c r="T21" s="2"/>
      <c r="U21" s="4" t="str">
        <f t="shared" si="0"/>
        <v/>
      </c>
      <c r="V21" s="14" t="str">
        <f>IF(A21="","",IF(AND(U21&lt;=CONFIG!B11,H21&gt;=CONFIG!B12),"PASS","FAIL"))</f>
        <v/>
      </c>
    </row>
    <row r="22" spans="1:22" x14ac:dyDescent="0.3">
      <c r="A22" s="17"/>
      <c r="B22" s="2"/>
      <c r="C22" s="2"/>
      <c r="D22" s="2"/>
      <c r="E22" s="2"/>
      <c r="F22" s="2"/>
      <c r="G22" s="2"/>
      <c r="H22" s="2"/>
      <c r="I22" s="2"/>
      <c r="J22" s="4" t="s">
        <v>392</v>
      </c>
      <c r="K22" s="4" t="s">
        <v>50</v>
      </c>
      <c r="L22" s="2"/>
      <c r="M22" s="2"/>
      <c r="N22" s="2"/>
      <c r="O22" s="2"/>
      <c r="P22" s="2"/>
      <c r="Q22" s="2"/>
      <c r="R22" s="2"/>
      <c r="S22" s="2"/>
      <c r="T22" s="2"/>
      <c r="U22" s="4" t="str">
        <f t="shared" si="0"/>
        <v/>
      </c>
      <c r="V22" s="14" t="str">
        <f>IF(A22="","",IF(AND(U22&lt;=CONFIG!B11,H22&gt;=CONFIG!B12),"PASS","FAIL"))</f>
        <v/>
      </c>
    </row>
    <row r="23" spans="1:22" x14ac:dyDescent="0.3">
      <c r="A23" s="17"/>
      <c r="B23" s="2"/>
      <c r="C23" s="2"/>
      <c r="D23" s="2"/>
      <c r="E23" s="2"/>
      <c r="F23" s="2"/>
      <c r="G23" s="2"/>
      <c r="H23" s="2"/>
      <c r="I23" s="2"/>
      <c r="J23" s="4" t="s">
        <v>393</v>
      </c>
      <c r="K23" s="4" t="s">
        <v>50</v>
      </c>
      <c r="L23" s="2"/>
      <c r="M23" s="2"/>
      <c r="N23" s="2"/>
      <c r="O23" s="2"/>
      <c r="P23" s="2"/>
      <c r="Q23" s="2"/>
      <c r="R23" s="2"/>
      <c r="S23" s="2"/>
      <c r="T23" s="2"/>
      <c r="U23" s="4" t="str">
        <f t="shared" si="0"/>
        <v/>
      </c>
      <c r="V23" s="14" t="str">
        <f>IF(A23="","",IF(AND(U23&lt;=CONFIG!B11,H23&gt;=CONFIG!B12),"PASS","FAIL"))</f>
        <v/>
      </c>
    </row>
    <row r="24" spans="1:22" x14ac:dyDescent="0.3">
      <c r="A24" s="17"/>
      <c r="B24" s="2"/>
      <c r="C24" s="2"/>
      <c r="D24" s="2"/>
      <c r="E24" s="2"/>
      <c r="F24" s="2"/>
      <c r="G24" s="2"/>
      <c r="H24" s="2"/>
      <c r="I24" s="2"/>
      <c r="J24" s="4" t="s">
        <v>394</v>
      </c>
      <c r="K24" s="4" t="s">
        <v>50</v>
      </c>
      <c r="L24" s="2"/>
      <c r="M24" s="2"/>
      <c r="N24" s="2"/>
      <c r="O24" s="2"/>
      <c r="P24" s="2"/>
      <c r="Q24" s="2"/>
      <c r="R24" s="2"/>
      <c r="S24" s="2"/>
      <c r="T24" s="2"/>
      <c r="U24" s="4" t="str">
        <f t="shared" si="0"/>
        <v/>
      </c>
      <c r="V24" s="14" t="str">
        <f>IF(A24="","",IF(AND(U24&lt;=CONFIG!B11,H24&gt;=CONFIG!B12),"PASS","FAIL"))</f>
        <v/>
      </c>
    </row>
    <row r="25" spans="1:22" x14ac:dyDescent="0.3">
      <c r="A25" s="17"/>
      <c r="B25" s="2"/>
      <c r="C25" s="2"/>
      <c r="D25" s="2"/>
      <c r="E25" s="2"/>
      <c r="F25" s="2"/>
      <c r="G25" s="2"/>
      <c r="H25" s="2"/>
      <c r="I25" s="2"/>
      <c r="J25" s="4" t="s">
        <v>395</v>
      </c>
      <c r="K25" s="4" t="s">
        <v>50</v>
      </c>
      <c r="L25" s="2"/>
      <c r="M25" s="2"/>
      <c r="N25" s="2"/>
      <c r="O25" s="2"/>
      <c r="P25" s="2"/>
      <c r="Q25" s="2"/>
      <c r="R25" s="2"/>
      <c r="S25" s="2"/>
      <c r="T25" s="2"/>
      <c r="U25" s="4" t="str">
        <f t="shared" si="0"/>
        <v/>
      </c>
      <c r="V25" s="14" t="str">
        <f>IF(A25="","",IF(AND(U25&lt;=CONFIG!B11,H25&gt;=CONFIG!B12),"PASS","FAIL"))</f>
        <v/>
      </c>
    </row>
    <row r="26" spans="1:22" x14ac:dyDescent="0.3">
      <c r="A26" s="17"/>
      <c r="B26" s="2"/>
      <c r="C26" s="2"/>
      <c r="D26" s="2"/>
      <c r="E26" s="2"/>
      <c r="F26" s="2"/>
      <c r="G26" s="2"/>
      <c r="H26" s="2"/>
      <c r="I26" s="2"/>
      <c r="J26" s="4" t="s">
        <v>396</v>
      </c>
      <c r="K26" s="4" t="s">
        <v>50</v>
      </c>
      <c r="L26" s="2"/>
      <c r="M26" s="2"/>
      <c r="N26" s="2"/>
      <c r="O26" s="2"/>
      <c r="P26" s="2"/>
      <c r="Q26" s="2"/>
      <c r="R26" s="2"/>
      <c r="S26" s="2"/>
      <c r="T26" s="2"/>
      <c r="U26" s="4" t="str">
        <f t="shared" si="0"/>
        <v/>
      </c>
      <c r="V26" s="14" t="str">
        <f>IF(A26="","",IF(AND(U26&lt;=CONFIG!B11,H26&gt;=CONFIG!B12),"PASS","FAIL"))</f>
        <v/>
      </c>
    </row>
    <row r="27" spans="1:22" x14ac:dyDescent="0.3">
      <c r="A27" s="17"/>
      <c r="B27" s="2"/>
      <c r="C27" s="2"/>
      <c r="D27" s="2"/>
      <c r="E27" s="2"/>
      <c r="F27" s="2"/>
      <c r="G27" s="2"/>
      <c r="H27" s="2"/>
      <c r="I27" s="2"/>
      <c r="J27" s="4" t="s">
        <v>397</v>
      </c>
      <c r="K27" s="4" t="s">
        <v>50</v>
      </c>
      <c r="L27" s="2"/>
      <c r="M27" s="2"/>
      <c r="N27" s="2"/>
      <c r="O27" s="2"/>
      <c r="P27" s="2"/>
      <c r="Q27" s="2"/>
      <c r="R27" s="2"/>
      <c r="S27" s="2"/>
      <c r="T27" s="2"/>
      <c r="U27" s="4" t="str">
        <f t="shared" si="0"/>
        <v/>
      </c>
      <c r="V27" s="14" t="str">
        <f>IF(A27="","",IF(AND(U27&lt;=CONFIG!B11,H27&gt;=CONFIG!B12),"PASS","FAIL"))</f>
        <v/>
      </c>
    </row>
    <row r="28" spans="1:22" x14ac:dyDescent="0.3">
      <c r="A28" s="17"/>
      <c r="B28" s="2"/>
      <c r="C28" s="2"/>
      <c r="D28" s="2"/>
      <c r="E28" s="2"/>
      <c r="F28" s="2"/>
      <c r="G28" s="2"/>
      <c r="H28" s="2"/>
      <c r="I28" s="2"/>
      <c r="J28" s="4" t="s">
        <v>398</v>
      </c>
      <c r="K28" s="4" t="s">
        <v>50</v>
      </c>
      <c r="L28" s="2"/>
      <c r="M28" s="2"/>
      <c r="N28" s="2"/>
      <c r="O28" s="2"/>
      <c r="P28" s="2"/>
      <c r="Q28" s="2"/>
      <c r="R28" s="2"/>
      <c r="S28" s="2"/>
      <c r="T28" s="2"/>
      <c r="U28" s="4" t="str">
        <f t="shared" si="0"/>
        <v/>
      </c>
      <c r="V28" s="14" t="str">
        <f>IF(A28="","",IF(AND(U28&lt;=CONFIG!B11,H28&gt;=CONFIG!B12),"PASS","FAIL"))</f>
        <v/>
      </c>
    </row>
    <row r="29" spans="1:22" x14ac:dyDescent="0.3">
      <c r="A29" s="17"/>
      <c r="B29" s="2"/>
      <c r="C29" s="2"/>
      <c r="D29" s="2"/>
      <c r="E29" s="2"/>
      <c r="F29" s="2"/>
      <c r="G29" s="2"/>
      <c r="H29" s="2"/>
      <c r="I29" s="2"/>
      <c r="J29" s="4" t="s">
        <v>399</v>
      </c>
      <c r="K29" s="4" t="s">
        <v>50</v>
      </c>
      <c r="L29" s="2"/>
      <c r="M29" s="2"/>
      <c r="N29" s="2"/>
      <c r="O29" s="2"/>
      <c r="P29" s="2"/>
      <c r="Q29" s="2"/>
      <c r="R29" s="2"/>
      <c r="S29" s="2"/>
      <c r="T29" s="2"/>
      <c r="U29" s="4" t="str">
        <f t="shared" si="0"/>
        <v/>
      </c>
      <c r="V29" s="14" t="str">
        <f>IF(A29="","",IF(AND(U29&lt;=CONFIG!B11,H29&gt;=CONFIG!B12),"PASS","FAIL"))</f>
        <v/>
      </c>
    </row>
    <row r="30" spans="1:22" x14ac:dyDescent="0.3">
      <c r="A30" s="17"/>
      <c r="B30" s="2"/>
      <c r="C30" s="2"/>
      <c r="D30" s="2"/>
      <c r="E30" s="2"/>
      <c r="F30" s="2"/>
      <c r="G30" s="2"/>
      <c r="H30" s="2"/>
      <c r="I30" s="2"/>
      <c r="J30" s="4" t="s">
        <v>400</v>
      </c>
      <c r="K30" s="4" t="s">
        <v>50</v>
      </c>
      <c r="L30" s="2"/>
      <c r="M30" s="2"/>
      <c r="N30" s="2"/>
      <c r="O30" s="2"/>
      <c r="P30" s="2"/>
      <c r="Q30" s="2"/>
      <c r="R30" s="2"/>
      <c r="S30" s="2"/>
      <c r="T30" s="2"/>
      <c r="U30" s="4" t="str">
        <f t="shared" si="0"/>
        <v/>
      </c>
      <c r="V30" s="14" t="str">
        <f>IF(A30="","",IF(AND(U30&lt;=CONFIG!B11,H30&gt;=CONFIG!B12),"PASS","FAIL"))</f>
        <v/>
      </c>
    </row>
    <row r="31" spans="1:22" x14ac:dyDescent="0.3">
      <c r="A31" s="17"/>
      <c r="B31" s="2"/>
      <c r="C31" s="2"/>
      <c r="D31" s="2"/>
      <c r="E31" s="2"/>
      <c r="F31" s="2"/>
      <c r="G31" s="2"/>
      <c r="H31" s="2"/>
      <c r="I31" s="2"/>
      <c r="J31" s="4" t="s">
        <v>401</v>
      </c>
      <c r="K31" s="4" t="s">
        <v>50</v>
      </c>
      <c r="L31" s="2"/>
      <c r="M31" s="2"/>
      <c r="N31" s="2"/>
      <c r="O31" s="2"/>
      <c r="P31" s="2"/>
      <c r="Q31" s="2"/>
      <c r="R31" s="2"/>
      <c r="S31" s="2"/>
      <c r="T31" s="2"/>
      <c r="U31" s="4" t="str">
        <f t="shared" si="0"/>
        <v/>
      </c>
      <c r="V31" s="14" t="str">
        <f>IF(A31="","",IF(AND(U31&lt;=CONFIG!B11,H31&gt;=CONFIG!B12),"PASS","FAIL"))</f>
        <v/>
      </c>
    </row>
    <row r="32" spans="1:22" x14ac:dyDescent="0.3">
      <c r="A32" s="17"/>
      <c r="B32" s="2"/>
      <c r="C32" s="2"/>
      <c r="D32" s="2"/>
      <c r="E32" s="2"/>
      <c r="F32" s="2"/>
      <c r="G32" s="2"/>
      <c r="H32" s="2"/>
      <c r="I32" s="2"/>
      <c r="J32" s="4" t="s">
        <v>402</v>
      </c>
      <c r="K32" s="4" t="s">
        <v>50</v>
      </c>
      <c r="L32" s="2"/>
      <c r="M32" s="2"/>
      <c r="N32" s="2"/>
      <c r="O32" s="2"/>
      <c r="P32" s="2"/>
      <c r="Q32" s="2"/>
      <c r="R32" s="2"/>
      <c r="S32" s="2"/>
      <c r="T32" s="2"/>
      <c r="U32" s="4" t="str">
        <f t="shared" si="0"/>
        <v/>
      </c>
      <c r="V32" s="14" t="str">
        <f>IF(A32="","",IF(AND(U32&lt;=CONFIG!B11,H32&gt;=CONFIG!B12),"PASS","FAIL"))</f>
        <v/>
      </c>
    </row>
    <row r="33" spans="1:22" x14ac:dyDescent="0.3">
      <c r="A33" s="17"/>
      <c r="B33" s="2"/>
      <c r="C33" s="2"/>
      <c r="D33" s="2"/>
      <c r="E33" s="2"/>
      <c r="F33" s="2"/>
      <c r="G33" s="2"/>
      <c r="H33" s="2"/>
      <c r="I33" s="2"/>
      <c r="J33" s="4" t="s">
        <v>403</v>
      </c>
      <c r="K33" s="4" t="s">
        <v>50</v>
      </c>
      <c r="L33" s="2"/>
      <c r="M33" s="2"/>
      <c r="N33" s="2"/>
      <c r="O33" s="2"/>
      <c r="P33" s="2"/>
      <c r="Q33" s="2"/>
      <c r="R33" s="2"/>
      <c r="S33" s="2"/>
      <c r="T33" s="2"/>
      <c r="U33" s="4" t="str">
        <f t="shared" si="0"/>
        <v/>
      </c>
      <c r="V33" s="14" t="str">
        <f>IF(A33="","",IF(AND(U33&lt;=CONFIG!B11,H33&gt;=CONFIG!B12),"PASS","FAIL"))</f>
        <v/>
      </c>
    </row>
    <row r="34" spans="1:22" x14ac:dyDescent="0.3">
      <c r="A34" s="17"/>
      <c r="B34" s="2"/>
      <c r="C34" s="2"/>
      <c r="D34" s="2"/>
      <c r="E34" s="2"/>
      <c r="F34" s="2"/>
      <c r="G34" s="2"/>
      <c r="H34" s="2"/>
      <c r="I34" s="2"/>
      <c r="J34" s="4" t="s">
        <v>404</v>
      </c>
      <c r="K34" s="4" t="s">
        <v>50</v>
      </c>
      <c r="L34" s="2"/>
      <c r="M34" s="2"/>
      <c r="N34" s="2"/>
      <c r="O34" s="2"/>
      <c r="P34" s="2"/>
      <c r="Q34" s="2"/>
      <c r="R34" s="2"/>
      <c r="S34" s="2"/>
      <c r="T34" s="2"/>
      <c r="U34" s="4" t="str">
        <f t="shared" si="0"/>
        <v/>
      </c>
      <c r="V34" s="14" t="str">
        <f>IF(A34="","",IF(AND(U34&lt;=CONFIG!B11,H34&gt;=CONFIG!B12),"PASS","FAIL"))</f>
        <v/>
      </c>
    </row>
    <row r="35" spans="1:22" x14ac:dyDescent="0.3">
      <c r="A35" s="17"/>
      <c r="B35" s="2"/>
      <c r="C35" s="2"/>
      <c r="D35" s="2"/>
      <c r="E35" s="2"/>
      <c r="F35" s="2"/>
      <c r="G35" s="2"/>
      <c r="H35" s="2"/>
      <c r="I35" s="2"/>
      <c r="J35" s="4" t="s">
        <v>405</v>
      </c>
      <c r="K35" s="4" t="s">
        <v>50</v>
      </c>
      <c r="L35" s="2"/>
      <c r="M35" s="2"/>
      <c r="N35" s="2"/>
      <c r="O35" s="2"/>
      <c r="P35" s="2"/>
      <c r="Q35" s="2"/>
      <c r="R35" s="2"/>
      <c r="S35" s="2"/>
      <c r="T35" s="2"/>
      <c r="U35" s="4" t="str">
        <f t="shared" si="0"/>
        <v/>
      </c>
      <c r="V35" s="14" t="str">
        <f>IF(A35="","",IF(AND(U35&lt;=CONFIG!B11,H35&gt;=CONFIG!B12),"PASS","FAIL"))</f>
        <v/>
      </c>
    </row>
    <row r="36" spans="1:22" x14ac:dyDescent="0.3">
      <c r="A36" s="17"/>
      <c r="B36" s="2"/>
      <c r="C36" s="2"/>
      <c r="D36" s="2"/>
      <c r="E36" s="2"/>
      <c r="F36" s="2"/>
      <c r="G36" s="2"/>
      <c r="H36" s="2"/>
      <c r="I36" s="2"/>
      <c r="J36" s="4" t="s">
        <v>406</v>
      </c>
      <c r="K36" s="4" t="s">
        <v>50</v>
      </c>
      <c r="L36" s="2"/>
      <c r="M36" s="2"/>
      <c r="N36" s="2"/>
      <c r="O36" s="2"/>
      <c r="P36" s="2"/>
      <c r="Q36" s="2"/>
      <c r="R36" s="2"/>
      <c r="S36" s="2"/>
      <c r="T36" s="2"/>
      <c r="U36" s="4" t="str">
        <f t="shared" si="0"/>
        <v/>
      </c>
      <c r="V36" s="14" t="str">
        <f>IF(A36="","",IF(AND(U36&lt;=CONFIG!B11,H36&gt;=CONFIG!B12),"PASS","FAIL"))</f>
        <v/>
      </c>
    </row>
    <row r="37" spans="1:22" x14ac:dyDescent="0.3">
      <c r="A37" s="17"/>
      <c r="B37" s="2"/>
      <c r="C37" s="2"/>
      <c r="D37" s="2"/>
      <c r="E37" s="2"/>
      <c r="F37" s="2"/>
      <c r="G37" s="2"/>
      <c r="H37" s="2"/>
      <c r="I37" s="2"/>
      <c r="J37" s="4" t="s">
        <v>407</v>
      </c>
      <c r="K37" s="4" t="s">
        <v>50</v>
      </c>
      <c r="L37" s="2"/>
      <c r="M37" s="2"/>
      <c r="N37" s="2"/>
      <c r="O37" s="2"/>
      <c r="P37" s="2"/>
      <c r="Q37" s="2"/>
      <c r="R37" s="2"/>
      <c r="S37" s="2"/>
      <c r="T37" s="2"/>
      <c r="U37" s="4" t="str">
        <f t="shared" ref="U37:U64" si="1">IF(OR(F37="",G37=""),"",ABS(G37-F37))</f>
        <v/>
      </c>
      <c r="V37" s="14" t="str">
        <f>IF(A37="","",IF(AND(U37&lt;=CONFIG!B11,H37&gt;=CONFIG!B12),"PASS","FAIL"))</f>
        <v/>
      </c>
    </row>
    <row r="38" spans="1:22" x14ac:dyDescent="0.3">
      <c r="A38" s="17"/>
      <c r="B38" s="2"/>
      <c r="C38" s="2"/>
      <c r="D38" s="2"/>
      <c r="E38" s="2"/>
      <c r="F38" s="2"/>
      <c r="G38" s="2"/>
      <c r="H38" s="2"/>
      <c r="I38" s="2"/>
      <c r="J38" s="4" t="s">
        <v>408</v>
      </c>
      <c r="K38" s="4" t="s">
        <v>50</v>
      </c>
      <c r="L38" s="2"/>
      <c r="M38" s="2"/>
      <c r="N38" s="2"/>
      <c r="O38" s="2"/>
      <c r="P38" s="2"/>
      <c r="Q38" s="2"/>
      <c r="R38" s="2"/>
      <c r="S38" s="2"/>
      <c r="T38" s="2"/>
      <c r="U38" s="4" t="str">
        <f t="shared" si="1"/>
        <v/>
      </c>
      <c r="V38" s="14" t="str">
        <f>IF(A38="","",IF(AND(U38&lt;=CONFIG!B11,H38&gt;=CONFIG!B12),"PASS","FAIL"))</f>
        <v/>
      </c>
    </row>
    <row r="39" spans="1:22" x14ac:dyDescent="0.3">
      <c r="A39" s="17"/>
      <c r="B39" s="2"/>
      <c r="C39" s="2"/>
      <c r="D39" s="2"/>
      <c r="E39" s="2"/>
      <c r="F39" s="2"/>
      <c r="G39" s="2"/>
      <c r="H39" s="2"/>
      <c r="I39" s="2"/>
      <c r="J39" s="4" t="s">
        <v>409</v>
      </c>
      <c r="K39" s="4" t="s">
        <v>50</v>
      </c>
      <c r="L39" s="2"/>
      <c r="M39" s="2"/>
      <c r="N39" s="2"/>
      <c r="O39" s="2"/>
      <c r="P39" s="2"/>
      <c r="Q39" s="2"/>
      <c r="R39" s="2"/>
      <c r="S39" s="2"/>
      <c r="T39" s="2"/>
      <c r="U39" s="4" t="str">
        <f t="shared" si="1"/>
        <v/>
      </c>
      <c r="V39" s="14" t="str">
        <f>IF(A39="","",IF(AND(U39&lt;=CONFIG!B11,H39&gt;=CONFIG!B12),"PASS","FAIL"))</f>
        <v/>
      </c>
    </row>
    <row r="40" spans="1:22" x14ac:dyDescent="0.3">
      <c r="A40" s="17"/>
      <c r="B40" s="2"/>
      <c r="C40" s="2"/>
      <c r="D40" s="2"/>
      <c r="E40" s="2"/>
      <c r="F40" s="2"/>
      <c r="G40" s="2"/>
      <c r="H40" s="2"/>
      <c r="I40" s="2"/>
      <c r="J40" s="4" t="s">
        <v>410</v>
      </c>
      <c r="K40" s="4" t="s">
        <v>50</v>
      </c>
      <c r="L40" s="2"/>
      <c r="M40" s="2"/>
      <c r="N40" s="2"/>
      <c r="O40" s="2"/>
      <c r="P40" s="2"/>
      <c r="Q40" s="2"/>
      <c r="R40" s="2"/>
      <c r="S40" s="2"/>
      <c r="T40" s="2"/>
      <c r="U40" s="4" t="str">
        <f t="shared" si="1"/>
        <v/>
      </c>
      <c r="V40" s="14" t="str">
        <f>IF(A40="","",IF(AND(U40&lt;=CONFIG!B11,H40&gt;=CONFIG!B12),"PASS","FAIL"))</f>
        <v/>
      </c>
    </row>
    <row r="41" spans="1:22" x14ac:dyDescent="0.3">
      <c r="A41" s="17"/>
      <c r="B41" s="2"/>
      <c r="C41" s="2"/>
      <c r="D41" s="2"/>
      <c r="E41" s="2"/>
      <c r="F41" s="2"/>
      <c r="G41" s="2"/>
      <c r="H41" s="2"/>
      <c r="I41" s="2"/>
      <c r="J41" s="4" t="s">
        <v>411</v>
      </c>
      <c r="K41" s="4" t="s">
        <v>50</v>
      </c>
      <c r="L41" s="2"/>
      <c r="M41" s="2"/>
      <c r="N41" s="2"/>
      <c r="O41" s="2"/>
      <c r="P41" s="2"/>
      <c r="Q41" s="2"/>
      <c r="R41" s="2"/>
      <c r="S41" s="2"/>
      <c r="T41" s="2"/>
      <c r="U41" s="4" t="str">
        <f t="shared" si="1"/>
        <v/>
      </c>
      <c r="V41" s="14" t="str">
        <f>IF(A41="","",IF(AND(U41&lt;=CONFIG!B11,H41&gt;=CONFIG!B12),"PASS","FAIL"))</f>
        <v/>
      </c>
    </row>
    <row r="42" spans="1:22" x14ac:dyDescent="0.3">
      <c r="A42" s="17"/>
      <c r="B42" s="2"/>
      <c r="C42" s="2"/>
      <c r="D42" s="2"/>
      <c r="E42" s="2"/>
      <c r="F42" s="2"/>
      <c r="G42" s="2"/>
      <c r="H42" s="2"/>
      <c r="I42" s="2"/>
      <c r="J42" s="4" t="s">
        <v>412</v>
      </c>
      <c r="K42" s="4" t="s">
        <v>50</v>
      </c>
      <c r="L42" s="2"/>
      <c r="M42" s="2"/>
      <c r="N42" s="2"/>
      <c r="O42" s="2"/>
      <c r="P42" s="2"/>
      <c r="Q42" s="2"/>
      <c r="R42" s="2"/>
      <c r="S42" s="2"/>
      <c r="T42" s="2"/>
      <c r="U42" s="4" t="str">
        <f t="shared" si="1"/>
        <v/>
      </c>
      <c r="V42" s="14" t="str">
        <f>IF(A42="","",IF(AND(U42&lt;=CONFIG!B11,H42&gt;=CONFIG!B12),"PASS","FAIL"))</f>
        <v/>
      </c>
    </row>
    <row r="43" spans="1:22" x14ac:dyDescent="0.3">
      <c r="A43" s="17"/>
      <c r="B43" s="2"/>
      <c r="C43" s="2"/>
      <c r="D43" s="2"/>
      <c r="E43" s="2"/>
      <c r="F43" s="2"/>
      <c r="G43" s="2"/>
      <c r="H43" s="2"/>
      <c r="I43" s="2"/>
      <c r="J43" s="4" t="s">
        <v>413</v>
      </c>
      <c r="K43" s="4" t="s">
        <v>50</v>
      </c>
      <c r="L43" s="2"/>
      <c r="M43" s="2"/>
      <c r="N43" s="2"/>
      <c r="O43" s="2"/>
      <c r="P43" s="2"/>
      <c r="Q43" s="2"/>
      <c r="R43" s="2"/>
      <c r="S43" s="2"/>
      <c r="T43" s="2"/>
      <c r="U43" s="4" t="str">
        <f t="shared" si="1"/>
        <v/>
      </c>
      <c r="V43" s="14" t="str">
        <f>IF(A43="","",IF(AND(U43&lt;=CONFIG!B11,H43&gt;=CONFIG!B12),"PASS","FAIL"))</f>
        <v/>
      </c>
    </row>
    <row r="44" spans="1:22" x14ac:dyDescent="0.3">
      <c r="A44" s="17"/>
      <c r="B44" s="2"/>
      <c r="C44" s="2"/>
      <c r="D44" s="2"/>
      <c r="E44" s="2"/>
      <c r="F44" s="2"/>
      <c r="G44" s="2"/>
      <c r="H44" s="2"/>
      <c r="I44" s="2"/>
      <c r="J44" s="4" t="s">
        <v>414</v>
      </c>
      <c r="K44" s="4" t="s">
        <v>50</v>
      </c>
      <c r="L44" s="2"/>
      <c r="M44" s="2"/>
      <c r="N44" s="2"/>
      <c r="O44" s="2"/>
      <c r="P44" s="2"/>
      <c r="Q44" s="2"/>
      <c r="R44" s="2"/>
      <c r="S44" s="2"/>
      <c r="T44" s="2"/>
      <c r="U44" s="4" t="str">
        <f t="shared" si="1"/>
        <v/>
      </c>
      <c r="V44" s="14" t="str">
        <f>IF(A44="","",IF(AND(U44&lt;=CONFIG!B11,H44&gt;=CONFIG!B12),"PASS","FAIL"))</f>
        <v/>
      </c>
    </row>
    <row r="45" spans="1:22" x14ac:dyDescent="0.3">
      <c r="A45" s="17"/>
      <c r="B45" s="2"/>
      <c r="C45" s="2"/>
      <c r="D45" s="2"/>
      <c r="E45" s="2"/>
      <c r="F45" s="2"/>
      <c r="G45" s="2"/>
      <c r="H45" s="2"/>
      <c r="I45" s="2"/>
      <c r="J45" s="4" t="s">
        <v>415</v>
      </c>
      <c r="K45" s="4" t="s">
        <v>50</v>
      </c>
      <c r="L45" s="2"/>
      <c r="M45" s="2"/>
      <c r="N45" s="2"/>
      <c r="O45" s="2"/>
      <c r="P45" s="2"/>
      <c r="Q45" s="2"/>
      <c r="R45" s="2"/>
      <c r="S45" s="2"/>
      <c r="T45" s="2"/>
      <c r="U45" s="4" t="str">
        <f t="shared" si="1"/>
        <v/>
      </c>
      <c r="V45" s="14" t="str">
        <f>IF(A45="","",IF(AND(U45&lt;=CONFIG!B11,H45&gt;=CONFIG!B12),"PASS","FAIL"))</f>
        <v/>
      </c>
    </row>
    <row r="46" spans="1:22" x14ac:dyDescent="0.3">
      <c r="A46" s="17"/>
      <c r="B46" s="2"/>
      <c r="C46" s="2"/>
      <c r="D46" s="2"/>
      <c r="E46" s="2"/>
      <c r="F46" s="2"/>
      <c r="G46" s="2"/>
      <c r="H46" s="2"/>
      <c r="I46" s="2"/>
      <c r="J46" s="4" t="s">
        <v>416</v>
      </c>
      <c r="K46" s="4" t="s">
        <v>50</v>
      </c>
      <c r="L46" s="2"/>
      <c r="M46" s="2"/>
      <c r="N46" s="2"/>
      <c r="O46" s="2"/>
      <c r="P46" s="2"/>
      <c r="Q46" s="2"/>
      <c r="R46" s="2"/>
      <c r="S46" s="2"/>
      <c r="T46" s="2"/>
      <c r="U46" s="4" t="str">
        <f t="shared" si="1"/>
        <v/>
      </c>
      <c r="V46" s="14" t="str">
        <f>IF(A46="","",IF(AND(U46&lt;=CONFIG!B11,H46&gt;=CONFIG!B12),"PASS","FAIL"))</f>
        <v/>
      </c>
    </row>
    <row r="47" spans="1:22" x14ac:dyDescent="0.3">
      <c r="A47" s="17"/>
      <c r="B47" s="2"/>
      <c r="C47" s="2"/>
      <c r="D47" s="2"/>
      <c r="E47" s="2"/>
      <c r="F47" s="2"/>
      <c r="G47" s="2"/>
      <c r="H47" s="2"/>
      <c r="I47" s="2"/>
      <c r="J47" s="4" t="s">
        <v>417</v>
      </c>
      <c r="K47" s="4" t="s">
        <v>50</v>
      </c>
      <c r="L47" s="2"/>
      <c r="M47" s="2"/>
      <c r="N47" s="2"/>
      <c r="O47" s="2"/>
      <c r="P47" s="2"/>
      <c r="Q47" s="2"/>
      <c r="R47" s="2"/>
      <c r="S47" s="2"/>
      <c r="T47" s="2"/>
      <c r="U47" s="4" t="str">
        <f t="shared" si="1"/>
        <v/>
      </c>
      <c r="V47" s="14" t="str">
        <f>IF(A47="","",IF(AND(U47&lt;=CONFIG!B11,H47&gt;=CONFIG!B12),"PASS","FAIL"))</f>
        <v/>
      </c>
    </row>
    <row r="48" spans="1:22" x14ac:dyDescent="0.3">
      <c r="A48" s="17"/>
      <c r="B48" s="2"/>
      <c r="C48" s="2"/>
      <c r="D48" s="2"/>
      <c r="E48" s="2"/>
      <c r="F48" s="2"/>
      <c r="G48" s="2"/>
      <c r="H48" s="2"/>
      <c r="I48" s="2"/>
      <c r="J48" s="4" t="s">
        <v>418</v>
      </c>
      <c r="K48" s="4" t="s">
        <v>50</v>
      </c>
      <c r="L48" s="2"/>
      <c r="M48" s="2"/>
      <c r="N48" s="2"/>
      <c r="O48" s="2"/>
      <c r="P48" s="2"/>
      <c r="Q48" s="2"/>
      <c r="R48" s="2"/>
      <c r="S48" s="2"/>
      <c r="T48" s="2"/>
      <c r="U48" s="4" t="str">
        <f t="shared" si="1"/>
        <v/>
      </c>
      <c r="V48" s="14" t="str">
        <f>IF(A48="","",IF(AND(U48&lt;=CONFIG!B11,H48&gt;=CONFIG!B12),"PASS","FAIL"))</f>
        <v/>
      </c>
    </row>
    <row r="49" spans="1:22" x14ac:dyDescent="0.3">
      <c r="A49" s="17"/>
      <c r="B49" s="2"/>
      <c r="C49" s="2"/>
      <c r="D49" s="2"/>
      <c r="E49" s="2"/>
      <c r="F49" s="2"/>
      <c r="G49" s="2"/>
      <c r="H49" s="2"/>
      <c r="I49" s="2"/>
      <c r="J49" s="4" t="s">
        <v>419</v>
      </c>
      <c r="K49" s="4" t="s">
        <v>50</v>
      </c>
      <c r="L49" s="2"/>
      <c r="M49" s="2"/>
      <c r="N49" s="2"/>
      <c r="O49" s="2"/>
      <c r="P49" s="2"/>
      <c r="Q49" s="2"/>
      <c r="R49" s="2"/>
      <c r="S49" s="2"/>
      <c r="T49" s="2"/>
      <c r="U49" s="4" t="str">
        <f t="shared" si="1"/>
        <v/>
      </c>
      <c r="V49" s="14" t="str">
        <f>IF(A49="","",IF(AND(U49&lt;=CONFIG!B11,H49&gt;=CONFIG!B12),"PASS","FAIL"))</f>
        <v/>
      </c>
    </row>
    <row r="50" spans="1:22" x14ac:dyDescent="0.3">
      <c r="A50" s="17"/>
      <c r="B50" s="2"/>
      <c r="C50" s="2"/>
      <c r="D50" s="2"/>
      <c r="E50" s="2"/>
      <c r="F50" s="2"/>
      <c r="G50" s="2"/>
      <c r="H50" s="2"/>
      <c r="I50" s="2"/>
      <c r="J50" s="4" t="s">
        <v>420</v>
      </c>
      <c r="K50" s="4" t="s">
        <v>50</v>
      </c>
      <c r="L50" s="2"/>
      <c r="M50" s="2"/>
      <c r="N50" s="2"/>
      <c r="O50" s="2"/>
      <c r="P50" s="2"/>
      <c r="Q50" s="2"/>
      <c r="R50" s="2"/>
      <c r="S50" s="2"/>
      <c r="T50" s="2"/>
      <c r="U50" s="4" t="str">
        <f t="shared" si="1"/>
        <v/>
      </c>
      <c r="V50" s="14" t="str">
        <f>IF(A50="","",IF(AND(U50&lt;=CONFIG!B11,H50&gt;=CONFIG!B12),"PASS","FAIL"))</f>
        <v/>
      </c>
    </row>
    <row r="51" spans="1:22" x14ac:dyDescent="0.3">
      <c r="A51" s="17"/>
      <c r="B51" s="2"/>
      <c r="C51" s="2"/>
      <c r="D51" s="2"/>
      <c r="E51" s="2"/>
      <c r="F51" s="2"/>
      <c r="G51" s="2"/>
      <c r="H51" s="2"/>
      <c r="I51" s="2"/>
      <c r="J51" s="4" t="s">
        <v>421</v>
      </c>
      <c r="K51" s="4" t="s">
        <v>50</v>
      </c>
      <c r="L51" s="2"/>
      <c r="M51" s="2"/>
      <c r="N51" s="2"/>
      <c r="O51" s="2"/>
      <c r="P51" s="2"/>
      <c r="Q51" s="2"/>
      <c r="R51" s="2"/>
      <c r="S51" s="2"/>
      <c r="T51" s="2"/>
      <c r="U51" s="4" t="str">
        <f t="shared" si="1"/>
        <v/>
      </c>
      <c r="V51" s="14" t="str">
        <f>IF(A51="","",IF(AND(U51&lt;=CONFIG!B11,H51&gt;=CONFIG!B12),"PASS","FAIL"))</f>
        <v/>
      </c>
    </row>
    <row r="52" spans="1:22" x14ac:dyDescent="0.3">
      <c r="A52" s="17"/>
      <c r="B52" s="2"/>
      <c r="C52" s="2"/>
      <c r="D52" s="2"/>
      <c r="E52" s="2"/>
      <c r="F52" s="2"/>
      <c r="G52" s="2"/>
      <c r="H52" s="2"/>
      <c r="I52" s="2"/>
      <c r="J52" s="4" t="s">
        <v>422</v>
      </c>
      <c r="K52" s="4" t="s">
        <v>50</v>
      </c>
      <c r="L52" s="2"/>
      <c r="M52" s="2"/>
      <c r="N52" s="2"/>
      <c r="O52" s="2"/>
      <c r="P52" s="2"/>
      <c r="Q52" s="2"/>
      <c r="R52" s="2"/>
      <c r="S52" s="2"/>
      <c r="T52" s="2"/>
      <c r="U52" s="4" t="str">
        <f t="shared" si="1"/>
        <v/>
      </c>
      <c r="V52" s="14" t="str">
        <f>IF(A52="","",IF(AND(U52&lt;=CONFIG!B11,H52&gt;=CONFIG!B12),"PASS","FAIL"))</f>
        <v/>
      </c>
    </row>
    <row r="53" spans="1:22" x14ac:dyDescent="0.3">
      <c r="A53" s="17"/>
      <c r="B53" s="2"/>
      <c r="C53" s="2"/>
      <c r="D53" s="2"/>
      <c r="E53" s="2"/>
      <c r="F53" s="2"/>
      <c r="G53" s="2"/>
      <c r="H53" s="2"/>
      <c r="I53" s="2"/>
      <c r="J53" s="4" t="s">
        <v>423</v>
      </c>
      <c r="K53" s="4" t="s">
        <v>50</v>
      </c>
      <c r="L53" s="2"/>
      <c r="M53" s="2"/>
      <c r="N53" s="2"/>
      <c r="O53" s="2"/>
      <c r="P53" s="2"/>
      <c r="Q53" s="2"/>
      <c r="R53" s="2"/>
      <c r="S53" s="2"/>
      <c r="T53" s="2"/>
      <c r="U53" s="4" t="str">
        <f t="shared" si="1"/>
        <v/>
      </c>
      <c r="V53" s="14" t="str">
        <f>IF(A53="","",IF(AND(U53&lt;=CONFIG!B11,H53&gt;=CONFIG!B12),"PASS","FAIL"))</f>
        <v/>
      </c>
    </row>
    <row r="54" spans="1:22" x14ac:dyDescent="0.3">
      <c r="A54" s="17"/>
      <c r="B54" s="2"/>
      <c r="C54" s="2"/>
      <c r="D54" s="2"/>
      <c r="E54" s="2"/>
      <c r="F54" s="2"/>
      <c r="G54" s="2"/>
      <c r="H54" s="2"/>
      <c r="I54" s="2"/>
      <c r="J54" s="4" t="s">
        <v>424</v>
      </c>
      <c r="K54" s="4" t="s">
        <v>50</v>
      </c>
      <c r="L54" s="2"/>
      <c r="M54" s="2"/>
      <c r="N54" s="2"/>
      <c r="O54" s="2"/>
      <c r="P54" s="2"/>
      <c r="Q54" s="2"/>
      <c r="R54" s="2"/>
      <c r="S54" s="2"/>
      <c r="T54" s="2"/>
      <c r="U54" s="4" t="str">
        <f t="shared" si="1"/>
        <v/>
      </c>
      <c r="V54" s="14" t="str">
        <f>IF(A54="","",IF(AND(U54&lt;=CONFIG!B11,H54&gt;=CONFIG!B12),"PASS","FAIL"))</f>
        <v/>
      </c>
    </row>
    <row r="55" spans="1:22" x14ac:dyDescent="0.3">
      <c r="A55" s="17"/>
      <c r="B55" s="2"/>
      <c r="C55" s="2"/>
      <c r="D55" s="2"/>
      <c r="E55" s="2"/>
      <c r="F55" s="2"/>
      <c r="G55" s="2"/>
      <c r="H55" s="2"/>
      <c r="I55" s="2"/>
      <c r="J55" s="4" t="s">
        <v>425</v>
      </c>
      <c r="K55" s="4" t="s">
        <v>50</v>
      </c>
      <c r="L55" s="2"/>
      <c r="M55" s="2"/>
      <c r="N55" s="2"/>
      <c r="O55" s="2"/>
      <c r="P55" s="2"/>
      <c r="Q55" s="2"/>
      <c r="R55" s="2"/>
      <c r="S55" s="2"/>
      <c r="T55" s="2"/>
      <c r="U55" s="4" t="str">
        <f t="shared" si="1"/>
        <v/>
      </c>
      <c r="V55" s="14" t="str">
        <f>IF(A55="","",IF(AND(U55&lt;=CONFIG!B11,H55&gt;=CONFIG!B12),"PASS","FAIL"))</f>
        <v/>
      </c>
    </row>
    <row r="56" spans="1:22" x14ac:dyDescent="0.3">
      <c r="A56" s="17"/>
      <c r="B56" s="2"/>
      <c r="C56" s="2"/>
      <c r="D56" s="2"/>
      <c r="E56" s="2"/>
      <c r="F56" s="2"/>
      <c r="G56" s="2"/>
      <c r="H56" s="2"/>
      <c r="I56" s="2"/>
      <c r="J56" s="4" t="s">
        <v>426</v>
      </c>
      <c r="K56" s="4" t="s">
        <v>50</v>
      </c>
      <c r="L56" s="2"/>
      <c r="M56" s="2"/>
      <c r="N56" s="2"/>
      <c r="O56" s="2"/>
      <c r="P56" s="2"/>
      <c r="Q56" s="2"/>
      <c r="R56" s="2"/>
      <c r="S56" s="2"/>
      <c r="T56" s="2"/>
      <c r="U56" s="4" t="str">
        <f t="shared" si="1"/>
        <v/>
      </c>
      <c r="V56" s="14" t="str">
        <f>IF(A56="","",IF(AND(U56&lt;=CONFIG!B11,H56&gt;=CONFIG!B12),"PASS","FAIL"))</f>
        <v/>
      </c>
    </row>
    <row r="57" spans="1:22" x14ac:dyDescent="0.3">
      <c r="A57" s="17"/>
      <c r="B57" s="2"/>
      <c r="C57" s="2"/>
      <c r="D57" s="2"/>
      <c r="E57" s="2"/>
      <c r="F57" s="2"/>
      <c r="G57" s="2"/>
      <c r="H57" s="2"/>
      <c r="I57" s="2"/>
      <c r="J57" s="4" t="s">
        <v>427</v>
      </c>
      <c r="K57" s="4" t="s">
        <v>50</v>
      </c>
      <c r="L57" s="2"/>
      <c r="M57" s="2"/>
      <c r="N57" s="2"/>
      <c r="O57" s="2"/>
      <c r="P57" s="2"/>
      <c r="Q57" s="2"/>
      <c r="R57" s="2"/>
      <c r="S57" s="2"/>
      <c r="T57" s="2"/>
      <c r="U57" s="4" t="str">
        <f t="shared" si="1"/>
        <v/>
      </c>
      <c r="V57" s="14" t="str">
        <f>IF(A57="","",IF(AND(U57&lt;=CONFIG!B11,H57&gt;=CONFIG!B12),"PASS","FAIL"))</f>
        <v/>
      </c>
    </row>
    <row r="58" spans="1:22" x14ac:dyDescent="0.3">
      <c r="A58" s="17"/>
      <c r="B58" s="2"/>
      <c r="C58" s="2"/>
      <c r="D58" s="2"/>
      <c r="E58" s="2"/>
      <c r="F58" s="2"/>
      <c r="G58" s="2"/>
      <c r="H58" s="2"/>
      <c r="I58" s="2"/>
      <c r="J58" s="4" t="s">
        <v>428</v>
      </c>
      <c r="K58" s="4" t="s">
        <v>50</v>
      </c>
      <c r="L58" s="2"/>
      <c r="M58" s="2"/>
      <c r="N58" s="2"/>
      <c r="O58" s="2"/>
      <c r="P58" s="2"/>
      <c r="Q58" s="2"/>
      <c r="R58" s="2"/>
      <c r="S58" s="2"/>
      <c r="T58" s="2"/>
      <c r="U58" s="4" t="str">
        <f t="shared" si="1"/>
        <v/>
      </c>
      <c r="V58" s="14" t="str">
        <f>IF(A58="","",IF(AND(U58&lt;=CONFIG!B11,H58&gt;=CONFIG!B12),"PASS","FAIL"))</f>
        <v/>
      </c>
    </row>
    <row r="59" spans="1:22" x14ac:dyDescent="0.3">
      <c r="A59" s="17"/>
      <c r="B59" s="2"/>
      <c r="C59" s="2"/>
      <c r="D59" s="2"/>
      <c r="E59" s="2"/>
      <c r="F59" s="2"/>
      <c r="G59" s="2"/>
      <c r="H59" s="2"/>
      <c r="I59" s="2"/>
      <c r="J59" s="4" t="s">
        <v>429</v>
      </c>
      <c r="K59" s="4" t="s">
        <v>50</v>
      </c>
      <c r="L59" s="2"/>
      <c r="M59" s="2"/>
      <c r="N59" s="2"/>
      <c r="O59" s="2"/>
      <c r="P59" s="2"/>
      <c r="Q59" s="2"/>
      <c r="R59" s="2"/>
      <c r="S59" s="2"/>
      <c r="T59" s="2"/>
      <c r="U59" s="4" t="str">
        <f t="shared" si="1"/>
        <v/>
      </c>
      <c r="V59" s="14" t="str">
        <f>IF(A59="","",IF(AND(U59&lt;=CONFIG!B11,H59&gt;=CONFIG!B12),"PASS","FAIL"))</f>
        <v/>
      </c>
    </row>
    <row r="60" spans="1:22" x14ac:dyDescent="0.3">
      <c r="A60" s="17"/>
      <c r="B60" s="2"/>
      <c r="C60" s="2"/>
      <c r="D60" s="2"/>
      <c r="E60" s="2"/>
      <c r="F60" s="2"/>
      <c r="G60" s="2"/>
      <c r="H60" s="2"/>
      <c r="I60" s="2"/>
      <c r="J60" s="4" t="s">
        <v>430</v>
      </c>
      <c r="K60" s="4" t="s">
        <v>50</v>
      </c>
      <c r="L60" s="2"/>
      <c r="M60" s="2"/>
      <c r="N60" s="2"/>
      <c r="O60" s="2"/>
      <c r="P60" s="2"/>
      <c r="Q60" s="2"/>
      <c r="R60" s="2"/>
      <c r="S60" s="2"/>
      <c r="T60" s="2"/>
      <c r="U60" s="4" t="str">
        <f t="shared" si="1"/>
        <v/>
      </c>
      <c r="V60" s="14" t="str">
        <f>IF(A60="","",IF(AND(U60&lt;=CONFIG!B11,H60&gt;=CONFIG!B12),"PASS","FAIL"))</f>
        <v/>
      </c>
    </row>
    <row r="61" spans="1:22" x14ac:dyDescent="0.3">
      <c r="A61" s="17"/>
      <c r="B61" s="2"/>
      <c r="C61" s="2"/>
      <c r="D61" s="2"/>
      <c r="E61" s="2"/>
      <c r="F61" s="2"/>
      <c r="G61" s="2"/>
      <c r="H61" s="2"/>
      <c r="I61" s="2"/>
      <c r="J61" s="4" t="s">
        <v>431</v>
      </c>
      <c r="K61" s="4" t="s">
        <v>50</v>
      </c>
      <c r="L61" s="2"/>
      <c r="M61" s="2"/>
      <c r="N61" s="2"/>
      <c r="O61" s="2"/>
      <c r="P61" s="2"/>
      <c r="Q61" s="2"/>
      <c r="R61" s="2"/>
      <c r="S61" s="2"/>
      <c r="T61" s="2"/>
      <c r="U61" s="4" t="str">
        <f t="shared" si="1"/>
        <v/>
      </c>
      <c r="V61" s="14" t="str">
        <f>IF(A61="","",IF(AND(U61&lt;=CONFIG!B11,H61&gt;=CONFIG!B12),"PASS","FAIL"))</f>
        <v/>
      </c>
    </row>
    <row r="62" spans="1:22" x14ac:dyDescent="0.3">
      <c r="A62" s="17"/>
      <c r="B62" s="2"/>
      <c r="C62" s="2"/>
      <c r="D62" s="2"/>
      <c r="E62" s="2"/>
      <c r="F62" s="2"/>
      <c r="G62" s="2"/>
      <c r="H62" s="2"/>
      <c r="I62" s="2"/>
      <c r="J62" s="4" t="s">
        <v>432</v>
      </c>
      <c r="K62" s="4" t="s">
        <v>50</v>
      </c>
      <c r="L62" s="2"/>
      <c r="M62" s="2"/>
      <c r="N62" s="2"/>
      <c r="O62" s="2"/>
      <c r="P62" s="2"/>
      <c r="Q62" s="2"/>
      <c r="R62" s="2"/>
      <c r="S62" s="2"/>
      <c r="T62" s="2"/>
      <c r="U62" s="4" t="str">
        <f t="shared" si="1"/>
        <v/>
      </c>
      <c r="V62" s="14" t="str">
        <f>IF(A62="","",IF(AND(U62&lt;=CONFIG!B11,H62&gt;=CONFIG!B12),"PASS","FAIL"))</f>
        <v/>
      </c>
    </row>
    <row r="63" spans="1:22" x14ac:dyDescent="0.3">
      <c r="A63" s="17"/>
      <c r="B63" s="2"/>
      <c r="C63" s="2"/>
      <c r="D63" s="2"/>
      <c r="E63" s="2"/>
      <c r="F63" s="2"/>
      <c r="G63" s="2"/>
      <c r="H63" s="2"/>
      <c r="I63" s="2"/>
      <c r="J63" s="4" t="s">
        <v>433</v>
      </c>
      <c r="K63" s="4" t="s">
        <v>50</v>
      </c>
      <c r="L63" s="2"/>
      <c r="M63" s="2"/>
      <c r="N63" s="2"/>
      <c r="O63" s="2"/>
      <c r="P63" s="2"/>
      <c r="Q63" s="2"/>
      <c r="R63" s="2"/>
      <c r="S63" s="2"/>
      <c r="T63" s="2"/>
      <c r="U63" s="4" t="str">
        <f t="shared" si="1"/>
        <v/>
      </c>
      <c r="V63" s="14" t="str">
        <f>IF(A63="","",IF(AND(U63&lt;=CONFIG!B11,H63&gt;=CONFIG!B12),"PASS","FAIL"))</f>
        <v/>
      </c>
    </row>
    <row r="64" spans="1:22" x14ac:dyDescent="0.3">
      <c r="A64" s="18"/>
      <c r="B64" s="12"/>
      <c r="C64" s="12"/>
      <c r="D64" s="12"/>
      <c r="E64" s="12"/>
      <c r="F64" s="12"/>
      <c r="G64" s="12"/>
      <c r="H64" s="12"/>
      <c r="I64" s="12"/>
      <c r="J64" s="15" t="s">
        <v>434</v>
      </c>
      <c r="K64" s="15" t="s">
        <v>50</v>
      </c>
      <c r="L64" s="12"/>
      <c r="M64" s="12"/>
      <c r="N64" s="12"/>
      <c r="O64" s="12"/>
      <c r="P64" s="12"/>
      <c r="Q64" s="12"/>
      <c r="R64" s="12"/>
      <c r="S64" s="12"/>
      <c r="T64" s="12"/>
      <c r="U64" s="15" t="str">
        <f t="shared" si="1"/>
        <v/>
      </c>
      <c r="V64" s="16" t="str">
        <f>IF(A64="","",IF(AND(U64&lt;=CONFIG!B11,H64&gt;=CONFIG!B12),"PASS","FAIL"))</f>
        <v/>
      </c>
    </row>
  </sheetData>
  <mergeCells count="2">
    <mergeCell ref="A1:V1"/>
    <mergeCell ref="A2:V2"/>
  </mergeCells>
  <conditionalFormatting sqref="V5:V64">
    <cfRule type="cellIs" dxfId="7" priority="1" stopIfTrue="1" operator="equal">
      <formula>"PASS"</formula>
    </cfRule>
    <cfRule type="cellIs" dxfId="6" priority="2" stopIfTrue="1" operator="equal">
      <formula>"FAIL"</formula>
    </cfRule>
    <cfRule type="cellIs" dxfId="5" priority="3" stopIfTrue="1" operator="equal">
      <formula>"BLOCKED"</formula>
    </cfRule>
    <cfRule type="cellIs" dxfId="4" priority="4" stopIfTrue="1" operator="equal">
      <formula>"ABORTED"</formula>
    </cfRule>
  </conditionalFormatting>
  <dataValidations count="4">
    <dataValidation type="list" allowBlank="1" showInputMessage="1" showErrorMessage="1" sqref="C5:C64" xr:uid="{E6AC1E80-C28A-4303-A3D0-B8E585CB7E22}">
      <formula1>"""LINEAR,QUADRATIC,PIECEWISE"""</formula1>
    </dataValidation>
    <dataValidation type="list" allowBlank="1" showInputMessage="1" showErrorMessage="1" sqref="D5:D64" xr:uid="{90C53699-66BC-4621-B209-25CECEFB0D47}">
      <formula1>"""CALIBRATION,HOLDOUT"""</formula1>
    </dataValidation>
    <dataValidation type="list" allowBlank="1" showInputMessage="1" showErrorMessage="1" sqref="I5:I64" xr:uid="{E075138A-2F33-4C4C-8722-901B02C7F753}">
      <formula1>"""SCORED,SHORT,LONG,REBOUND,OTHER"""</formula1>
    </dataValidation>
    <dataValidation type="list" allowBlank="1" showInputMessage="1" showErrorMessage="1" sqref="V5:V64" xr:uid="{6B5AB6C5-DEB3-4CD3-B595-26F4A9C9F357}">
      <formula1>"""NOT_RUN,IN_PROGRESS,PASS,FAIL,BLOCKED,ABORTED,INVALID_DATA,NOT_APPLICABLE"""</formula1>
    </dataValidation>
  </dataValidations>
  <pageMargins left="0.25" right="0.25" top="0.35" bottom="0.35" header="0.3" footer="0.3"/>
  <pageSetup orientation="landscape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E8D65-891B-4082-BF30-8A41C0155BF6}">
  <dimension ref="A1:I64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10" defaultColWidth="20.77734375" defaultRowHeight="14.4" x14ac:dyDescent="0.3"/>
  <sheetData>
    <row r="1" spans="1:9" ht="30" customHeight="1" x14ac:dyDescent="0.3">
      <c r="A1" s="19" t="s">
        <v>435</v>
      </c>
      <c r="B1" s="19"/>
      <c r="C1" s="19"/>
      <c r="D1" s="19"/>
      <c r="E1" s="19"/>
      <c r="F1" s="19"/>
      <c r="G1" s="19"/>
      <c r="H1" s="19"/>
      <c r="I1" s="19"/>
    </row>
    <row r="2" spans="1:9" ht="36" customHeight="1" x14ac:dyDescent="0.3">
      <c r="A2" s="20" t="s">
        <v>436</v>
      </c>
      <c r="B2" s="20"/>
      <c r="C2" s="20"/>
      <c r="D2" s="20"/>
      <c r="E2" s="20"/>
      <c r="F2" s="20"/>
      <c r="G2" s="20"/>
      <c r="H2" s="20"/>
      <c r="I2" s="20"/>
    </row>
    <row r="4" spans="1:9" ht="31.95" customHeight="1" x14ac:dyDescent="0.3">
      <c r="A4" s="7" t="s">
        <v>437</v>
      </c>
      <c r="B4" s="8" t="s">
        <v>358</v>
      </c>
      <c r="C4" s="8" t="s">
        <v>359</v>
      </c>
      <c r="D4" s="8" t="s">
        <v>360</v>
      </c>
      <c r="E4" s="8" t="s">
        <v>361</v>
      </c>
      <c r="F4" s="8" t="s">
        <v>362</v>
      </c>
      <c r="G4" s="8" t="s">
        <v>363</v>
      </c>
      <c r="H4" s="8" t="s">
        <v>364</v>
      </c>
      <c r="I4" s="10" t="s">
        <v>365</v>
      </c>
    </row>
    <row r="5" spans="1:9" x14ac:dyDescent="0.3">
      <c r="A5" s="6" t="str">
        <f>IF(SHOT_DATASET!A5="","",SHOT_DATASET!A5)</f>
        <v/>
      </c>
      <c r="B5" s="4" t="str">
        <f>IF(SHOT_DATASET!A5="","",SHOT_DATASET!B5)</f>
        <v/>
      </c>
      <c r="C5" s="4" t="str">
        <f>IF(SHOT_DATASET!A5="","",SHOT_DATASET!C5)</f>
        <v/>
      </c>
      <c r="D5" s="4" t="str">
        <f>IF(SHOT_DATASET!A5="","",SHOT_DATASET!D5)</f>
        <v/>
      </c>
      <c r="E5" s="4" t="str">
        <f>IF(SHOT_DATASET!A5="","",SHOT_DATASET!E5)</f>
        <v/>
      </c>
      <c r="F5" s="4" t="str">
        <f>IF(SHOT_DATASET!A5="","",SHOT_DATASET!F5)</f>
        <v/>
      </c>
      <c r="G5" s="4" t="str">
        <f>IF(SHOT_DATASET!A5="","",SHOT_DATASET!G5)</f>
        <v/>
      </c>
      <c r="H5" s="4" t="str">
        <f>IF(SHOT_DATASET!A5="","",SHOT_DATASET!H5)</f>
        <v/>
      </c>
      <c r="I5" s="14" t="str">
        <f>IF(SHOT_DATASET!A5="","",SHOT_DATASET!I5)</f>
        <v/>
      </c>
    </row>
    <row r="6" spans="1:9" x14ac:dyDescent="0.3">
      <c r="A6" s="6" t="str">
        <f>IF(SHOT_DATASET!A6="","",SHOT_DATASET!A6)</f>
        <v/>
      </c>
      <c r="B6" s="4" t="str">
        <f>IF(SHOT_DATASET!A6="","",SHOT_DATASET!B6)</f>
        <v/>
      </c>
      <c r="C6" s="4" t="str">
        <f>IF(SHOT_DATASET!A6="","",SHOT_DATASET!C6)</f>
        <v/>
      </c>
      <c r="D6" s="4" t="str">
        <f>IF(SHOT_DATASET!A6="","",SHOT_DATASET!D6)</f>
        <v/>
      </c>
      <c r="E6" s="4" t="str">
        <f>IF(SHOT_DATASET!A6="","",SHOT_DATASET!E6)</f>
        <v/>
      </c>
      <c r="F6" s="4" t="str">
        <f>IF(SHOT_DATASET!A6="","",SHOT_DATASET!F6)</f>
        <v/>
      </c>
      <c r="G6" s="4" t="str">
        <f>IF(SHOT_DATASET!A6="","",SHOT_DATASET!G6)</f>
        <v/>
      </c>
      <c r="H6" s="4" t="str">
        <f>IF(SHOT_DATASET!A6="","",SHOT_DATASET!H6)</f>
        <v/>
      </c>
      <c r="I6" s="14" t="str">
        <f>IF(SHOT_DATASET!A6="","",SHOT_DATASET!I6)</f>
        <v/>
      </c>
    </row>
    <row r="7" spans="1:9" x14ac:dyDescent="0.3">
      <c r="A7" s="6" t="str">
        <f>IF(SHOT_DATASET!A7="","",SHOT_DATASET!A7)</f>
        <v/>
      </c>
      <c r="B7" s="4" t="str">
        <f>IF(SHOT_DATASET!A7="","",SHOT_DATASET!B7)</f>
        <v/>
      </c>
      <c r="C7" s="4" t="str">
        <f>IF(SHOT_DATASET!A7="","",SHOT_DATASET!C7)</f>
        <v/>
      </c>
      <c r="D7" s="4" t="str">
        <f>IF(SHOT_DATASET!A7="","",SHOT_DATASET!D7)</f>
        <v/>
      </c>
      <c r="E7" s="4" t="str">
        <f>IF(SHOT_DATASET!A7="","",SHOT_DATASET!E7)</f>
        <v/>
      </c>
      <c r="F7" s="4" t="str">
        <f>IF(SHOT_DATASET!A7="","",SHOT_DATASET!F7)</f>
        <v/>
      </c>
      <c r="G7" s="4" t="str">
        <f>IF(SHOT_DATASET!A7="","",SHOT_DATASET!G7)</f>
        <v/>
      </c>
      <c r="H7" s="4" t="str">
        <f>IF(SHOT_DATASET!A7="","",SHOT_DATASET!H7)</f>
        <v/>
      </c>
      <c r="I7" s="14" t="str">
        <f>IF(SHOT_DATASET!A7="","",SHOT_DATASET!I7)</f>
        <v/>
      </c>
    </row>
    <row r="8" spans="1:9" x14ac:dyDescent="0.3">
      <c r="A8" s="6" t="str">
        <f>IF(SHOT_DATASET!A8="","",SHOT_DATASET!A8)</f>
        <v/>
      </c>
      <c r="B8" s="4" t="str">
        <f>IF(SHOT_DATASET!A8="","",SHOT_DATASET!B8)</f>
        <v/>
      </c>
      <c r="C8" s="4" t="str">
        <f>IF(SHOT_DATASET!A8="","",SHOT_DATASET!C8)</f>
        <v/>
      </c>
      <c r="D8" s="4" t="str">
        <f>IF(SHOT_DATASET!A8="","",SHOT_DATASET!D8)</f>
        <v/>
      </c>
      <c r="E8" s="4" t="str">
        <f>IF(SHOT_DATASET!A8="","",SHOT_DATASET!E8)</f>
        <v/>
      </c>
      <c r="F8" s="4" t="str">
        <f>IF(SHOT_DATASET!A8="","",SHOT_DATASET!F8)</f>
        <v/>
      </c>
      <c r="G8" s="4" t="str">
        <f>IF(SHOT_DATASET!A8="","",SHOT_DATASET!G8)</f>
        <v/>
      </c>
      <c r="H8" s="4" t="str">
        <f>IF(SHOT_DATASET!A8="","",SHOT_DATASET!H8)</f>
        <v/>
      </c>
      <c r="I8" s="14" t="str">
        <f>IF(SHOT_DATASET!A8="","",SHOT_DATASET!I8)</f>
        <v/>
      </c>
    </row>
    <row r="9" spans="1:9" x14ac:dyDescent="0.3">
      <c r="A9" s="6" t="str">
        <f>IF(SHOT_DATASET!A9="","",SHOT_DATASET!A9)</f>
        <v/>
      </c>
      <c r="B9" s="4" t="str">
        <f>IF(SHOT_DATASET!A9="","",SHOT_DATASET!B9)</f>
        <v/>
      </c>
      <c r="C9" s="4" t="str">
        <f>IF(SHOT_DATASET!A9="","",SHOT_DATASET!C9)</f>
        <v/>
      </c>
      <c r="D9" s="4" t="str">
        <f>IF(SHOT_DATASET!A9="","",SHOT_DATASET!D9)</f>
        <v/>
      </c>
      <c r="E9" s="4" t="str">
        <f>IF(SHOT_DATASET!A9="","",SHOT_DATASET!E9)</f>
        <v/>
      </c>
      <c r="F9" s="4" t="str">
        <f>IF(SHOT_DATASET!A9="","",SHOT_DATASET!F9)</f>
        <v/>
      </c>
      <c r="G9" s="4" t="str">
        <f>IF(SHOT_DATASET!A9="","",SHOT_DATASET!G9)</f>
        <v/>
      </c>
      <c r="H9" s="4" t="str">
        <f>IF(SHOT_DATASET!A9="","",SHOT_DATASET!H9)</f>
        <v/>
      </c>
      <c r="I9" s="14" t="str">
        <f>IF(SHOT_DATASET!A9="","",SHOT_DATASET!I9)</f>
        <v/>
      </c>
    </row>
    <row r="10" spans="1:9" x14ac:dyDescent="0.3">
      <c r="A10" s="6" t="str">
        <f>IF(SHOT_DATASET!A10="","",SHOT_DATASET!A10)</f>
        <v/>
      </c>
      <c r="B10" s="4" t="str">
        <f>IF(SHOT_DATASET!A10="","",SHOT_DATASET!B10)</f>
        <v/>
      </c>
      <c r="C10" s="4" t="str">
        <f>IF(SHOT_DATASET!A10="","",SHOT_DATASET!C10)</f>
        <v/>
      </c>
      <c r="D10" s="4" t="str">
        <f>IF(SHOT_DATASET!A10="","",SHOT_DATASET!D10)</f>
        <v/>
      </c>
      <c r="E10" s="4" t="str">
        <f>IF(SHOT_DATASET!A10="","",SHOT_DATASET!E10)</f>
        <v/>
      </c>
      <c r="F10" s="4" t="str">
        <f>IF(SHOT_DATASET!A10="","",SHOT_DATASET!F10)</f>
        <v/>
      </c>
      <c r="G10" s="4" t="str">
        <f>IF(SHOT_DATASET!A10="","",SHOT_DATASET!G10)</f>
        <v/>
      </c>
      <c r="H10" s="4" t="str">
        <f>IF(SHOT_DATASET!A10="","",SHOT_DATASET!H10)</f>
        <v/>
      </c>
      <c r="I10" s="14" t="str">
        <f>IF(SHOT_DATASET!A10="","",SHOT_DATASET!I10)</f>
        <v/>
      </c>
    </row>
    <row r="11" spans="1:9" x14ac:dyDescent="0.3">
      <c r="A11" s="6" t="str">
        <f>IF(SHOT_DATASET!A11="","",SHOT_DATASET!A11)</f>
        <v/>
      </c>
      <c r="B11" s="4" t="str">
        <f>IF(SHOT_DATASET!A11="","",SHOT_DATASET!B11)</f>
        <v/>
      </c>
      <c r="C11" s="4" t="str">
        <f>IF(SHOT_DATASET!A11="","",SHOT_DATASET!C11)</f>
        <v/>
      </c>
      <c r="D11" s="4" t="str">
        <f>IF(SHOT_DATASET!A11="","",SHOT_DATASET!D11)</f>
        <v/>
      </c>
      <c r="E11" s="4" t="str">
        <f>IF(SHOT_DATASET!A11="","",SHOT_DATASET!E11)</f>
        <v/>
      </c>
      <c r="F11" s="4" t="str">
        <f>IF(SHOT_DATASET!A11="","",SHOT_DATASET!F11)</f>
        <v/>
      </c>
      <c r="G11" s="4" t="str">
        <f>IF(SHOT_DATASET!A11="","",SHOT_DATASET!G11)</f>
        <v/>
      </c>
      <c r="H11" s="4" t="str">
        <f>IF(SHOT_DATASET!A11="","",SHOT_DATASET!H11)</f>
        <v/>
      </c>
      <c r="I11" s="14" t="str">
        <f>IF(SHOT_DATASET!A11="","",SHOT_DATASET!I11)</f>
        <v/>
      </c>
    </row>
    <row r="12" spans="1:9" x14ac:dyDescent="0.3">
      <c r="A12" s="6" t="str">
        <f>IF(SHOT_DATASET!A12="","",SHOT_DATASET!A12)</f>
        <v/>
      </c>
      <c r="B12" s="4" t="str">
        <f>IF(SHOT_DATASET!A12="","",SHOT_DATASET!B12)</f>
        <v/>
      </c>
      <c r="C12" s="4" t="str">
        <f>IF(SHOT_DATASET!A12="","",SHOT_DATASET!C12)</f>
        <v/>
      </c>
      <c r="D12" s="4" t="str">
        <f>IF(SHOT_DATASET!A12="","",SHOT_DATASET!D12)</f>
        <v/>
      </c>
      <c r="E12" s="4" t="str">
        <f>IF(SHOT_DATASET!A12="","",SHOT_DATASET!E12)</f>
        <v/>
      </c>
      <c r="F12" s="4" t="str">
        <f>IF(SHOT_DATASET!A12="","",SHOT_DATASET!F12)</f>
        <v/>
      </c>
      <c r="G12" s="4" t="str">
        <f>IF(SHOT_DATASET!A12="","",SHOT_DATASET!G12)</f>
        <v/>
      </c>
      <c r="H12" s="4" t="str">
        <f>IF(SHOT_DATASET!A12="","",SHOT_DATASET!H12)</f>
        <v/>
      </c>
      <c r="I12" s="14" t="str">
        <f>IF(SHOT_DATASET!A12="","",SHOT_DATASET!I12)</f>
        <v/>
      </c>
    </row>
    <row r="13" spans="1:9" x14ac:dyDescent="0.3">
      <c r="A13" s="6" t="str">
        <f>IF(SHOT_DATASET!A13="","",SHOT_DATASET!A13)</f>
        <v/>
      </c>
      <c r="B13" s="4" t="str">
        <f>IF(SHOT_DATASET!A13="","",SHOT_DATASET!B13)</f>
        <v/>
      </c>
      <c r="C13" s="4" t="str">
        <f>IF(SHOT_DATASET!A13="","",SHOT_DATASET!C13)</f>
        <v/>
      </c>
      <c r="D13" s="4" t="str">
        <f>IF(SHOT_DATASET!A13="","",SHOT_DATASET!D13)</f>
        <v/>
      </c>
      <c r="E13" s="4" t="str">
        <f>IF(SHOT_DATASET!A13="","",SHOT_DATASET!E13)</f>
        <v/>
      </c>
      <c r="F13" s="4" t="str">
        <f>IF(SHOT_DATASET!A13="","",SHOT_DATASET!F13)</f>
        <v/>
      </c>
      <c r="G13" s="4" t="str">
        <f>IF(SHOT_DATASET!A13="","",SHOT_DATASET!G13)</f>
        <v/>
      </c>
      <c r="H13" s="4" t="str">
        <f>IF(SHOT_DATASET!A13="","",SHOT_DATASET!H13)</f>
        <v/>
      </c>
      <c r="I13" s="14" t="str">
        <f>IF(SHOT_DATASET!A13="","",SHOT_DATASET!I13)</f>
        <v/>
      </c>
    </row>
    <row r="14" spans="1:9" x14ac:dyDescent="0.3">
      <c r="A14" s="6" t="str">
        <f>IF(SHOT_DATASET!A14="","",SHOT_DATASET!A14)</f>
        <v/>
      </c>
      <c r="B14" s="4" t="str">
        <f>IF(SHOT_DATASET!A14="","",SHOT_DATASET!B14)</f>
        <v/>
      </c>
      <c r="C14" s="4" t="str">
        <f>IF(SHOT_DATASET!A14="","",SHOT_DATASET!C14)</f>
        <v/>
      </c>
      <c r="D14" s="4" t="str">
        <f>IF(SHOT_DATASET!A14="","",SHOT_DATASET!D14)</f>
        <v/>
      </c>
      <c r="E14" s="4" t="str">
        <f>IF(SHOT_DATASET!A14="","",SHOT_DATASET!E14)</f>
        <v/>
      </c>
      <c r="F14" s="4" t="str">
        <f>IF(SHOT_DATASET!A14="","",SHOT_DATASET!F14)</f>
        <v/>
      </c>
      <c r="G14" s="4" t="str">
        <f>IF(SHOT_DATASET!A14="","",SHOT_DATASET!G14)</f>
        <v/>
      </c>
      <c r="H14" s="4" t="str">
        <f>IF(SHOT_DATASET!A14="","",SHOT_DATASET!H14)</f>
        <v/>
      </c>
      <c r="I14" s="14" t="str">
        <f>IF(SHOT_DATASET!A14="","",SHOT_DATASET!I14)</f>
        <v/>
      </c>
    </row>
    <row r="15" spans="1:9" x14ac:dyDescent="0.3">
      <c r="A15" s="6" t="str">
        <f>IF(SHOT_DATASET!A15="","",SHOT_DATASET!A15)</f>
        <v/>
      </c>
      <c r="B15" s="4" t="str">
        <f>IF(SHOT_DATASET!A15="","",SHOT_DATASET!B15)</f>
        <v/>
      </c>
      <c r="C15" s="4" t="str">
        <f>IF(SHOT_DATASET!A15="","",SHOT_DATASET!C15)</f>
        <v/>
      </c>
      <c r="D15" s="4" t="str">
        <f>IF(SHOT_DATASET!A15="","",SHOT_DATASET!D15)</f>
        <v/>
      </c>
      <c r="E15" s="4" t="str">
        <f>IF(SHOT_DATASET!A15="","",SHOT_DATASET!E15)</f>
        <v/>
      </c>
      <c r="F15" s="4" t="str">
        <f>IF(SHOT_DATASET!A15="","",SHOT_DATASET!F15)</f>
        <v/>
      </c>
      <c r="G15" s="4" t="str">
        <f>IF(SHOT_DATASET!A15="","",SHOT_DATASET!G15)</f>
        <v/>
      </c>
      <c r="H15" s="4" t="str">
        <f>IF(SHOT_DATASET!A15="","",SHOT_DATASET!H15)</f>
        <v/>
      </c>
      <c r="I15" s="14" t="str">
        <f>IF(SHOT_DATASET!A15="","",SHOT_DATASET!I15)</f>
        <v/>
      </c>
    </row>
    <row r="16" spans="1:9" x14ac:dyDescent="0.3">
      <c r="A16" s="6" t="str">
        <f>IF(SHOT_DATASET!A16="","",SHOT_DATASET!A16)</f>
        <v/>
      </c>
      <c r="B16" s="4" t="str">
        <f>IF(SHOT_DATASET!A16="","",SHOT_DATASET!B16)</f>
        <v/>
      </c>
      <c r="C16" s="4" t="str">
        <f>IF(SHOT_DATASET!A16="","",SHOT_DATASET!C16)</f>
        <v/>
      </c>
      <c r="D16" s="4" t="str">
        <f>IF(SHOT_DATASET!A16="","",SHOT_DATASET!D16)</f>
        <v/>
      </c>
      <c r="E16" s="4" t="str">
        <f>IF(SHOT_DATASET!A16="","",SHOT_DATASET!E16)</f>
        <v/>
      </c>
      <c r="F16" s="4" t="str">
        <f>IF(SHOT_DATASET!A16="","",SHOT_DATASET!F16)</f>
        <v/>
      </c>
      <c r="G16" s="4" t="str">
        <f>IF(SHOT_DATASET!A16="","",SHOT_DATASET!G16)</f>
        <v/>
      </c>
      <c r="H16" s="4" t="str">
        <f>IF(SHOT_DATASET!A16="","",SHOT_DATASET!H16)</f>
        <v/>
      </c>
      <c r="I16" s="14" t="str">
        <f>IF(SHOT_DATASET!A16="","",SHOT_DATASET!I16)</f>
        <v/>
      </c>
    </row>
    <row r="17" spans="1:9" x14ac:dyDescent="0.3">
      <c r="A17" s="6" t="str">
        <f>IF(SHOT_DATASET!A17="","",SHOT_DATASET!A17)</f>
        <v/>
      </c>
      <c r="B17" s="4" t="str">
        <f>IF(SHOT_DATASET!A17="","",SHOT_DATASET!B17)</f>
        <v/>
      </c>
      <c r="C17" s="4" t="str">
        <f>IF(SHOT_DATASET!A17="","",SHOT_DATASET!C17)</f>
        <v/>
      </c>
      <c r="D17" s="4" t="str">
        <f>IF(SHOT_DATASET!A17="","",SHOT_DATASET!D17)</f>
        <v/>
      </c>
      <c r="E17" s="4" t="str">
        <f>IF(SHOT_DATASET!A17="","",SHOT_DATASET!E17)</f>
        <v/>
      </c>
      <c r="F17" s="4" t="str">
        <f>IF(SHOT_DATASET!A17="","",SHOT_DATASET!F17)</f>
        <v/>
      </c>
      <c r="G17" s="4" t="str">
        <f>IF(SHOT_DATASET!A17="","",SHOT_DATASET!G17)</f>
        <v/>
      </c>
      <c r="H17" s="4" t="str">
        <f>IF(SHOT_DATASET!A17="","",SHOT_DATASET!H17)</f>
        <v/>
      </c>
      <c r="I17" s="14" t="str">
        <f>IF(SHOT_DATASET!A17="","",SHOT_DATASET!I17)</f>
        <v/>
      </c>
    </row>
    <row r="18" spans="1:9" x14ac:dyDescent="0.3">
      <c r="A18" s="6" t="str">
        <f>IF(SHOT_DATASET!A18="","",SHOT_DATASET!A18)</f>
        <v/>
      </c>
      <c r="B18" s="4" t="str">
        <f>IF(SHOT_DATASET!A18="","",SHOT_DATASET!B18)</f>
        <v/>
      </c>
      <c r="C18" s="4" t="str">
        <f>IF(SHOT_DATASET!A18="","",SHOT_DATASET!C18)</f>
        <v/>
      </c>
      <c r="D18" s="4" t="str">
        <f>IF(SHOT_DATASET!A18="","",SHOT_DATASET!D18)</f>
        <v/>
      </c>
      <c r="E18" s="4" t="str">
        <f>IF(SHOT_DATASET!A18="","",SHOT_DATASET!E18)</f>
        <v/>
      </c>
      <c r="F18" s="4" t="str">
        <f>IF(SHOT_DATASET!A18="","",SHOT_DATASET!F18)</f>
        <v/>
      </c>
      <c r="G18" s="4" t="str">
        <f>IF(SHOT_DATASET!A18="","",SHOT_DATASET!G18)</f>
        <v/>
      </c>
      <c r="H18" s="4" t="str">
        <f>IF(SHOT_DATASET!A18="","",SHOT_DATASET!H18)</f>
        <v/>
      </c>
      <c r="I18" s="14" t="str">
        <f>IF(SHOT_DATASET!A18="","",SHOT_DATASET!I18)</f>
        <v/>
      </c>
    </row>
    <row r="19" spans="1:9" x14ac:dyDescent="0.3">
      <c r="A19" s="6" t="str">
        <f>IF(SHOT_DATASET!A19="","",SHOT_DATASET!A19)</f>
        <v/>
      </c>
      <c r="B19" s="4" t="str">
        <f>IF(SHOT_DATASET!A19="","",SHOT_DATASET!B19)</f>
        <v/>
      </c>
      <c r="C19" s="4" t="str">
        <f>IF(SHOT_DATASET!A19="","",SHOT_DATASET!C19)</f>
        <v/>
      </c>
      <c r="D19" s="4" t="str">
        <f>IF(SHOT_DATASET!A19="","",SHOT_DATASET!D19)</f>
        <v/>
      </c>
      <c r="E19" s="4" t="str">
        <f>IF(SHOT_DATASET!A19="","",SHOT_DATASET!E19)</f>
        <v/>
      </c>
      <c r="F19" s="4" t="str">
        <f>IF(SHOT_DATASET!A19="","",SHOT_DATASET!F19)</f>
        <v/>
      </c>
      <c r="G19" s="4" t="str">
        <f>IF(SHOT_DATASET!A19="","",SHOT_DATASET!G19)</f>
        <v/>
      </c>
      <c r="H19" s="4" t="str">
        <f>IF(SHOT_DATASET!A19="","",SHOT_DATASET!H19)</f>
        <v/>
      </c>
      <c r="I19" s="14" t="str">
        <f>IF(SHOT_DATASET!A19="","",SHOT_DATASET!I19)</f>
        <v/>
      </c>
    </row>
    <row r="20" spans="1:9" x14ac:dyDescent="0.3">
      <c r="A20" s="6" t="str">
        <f>IF(SHOT_DATASET!A20="","",SHOT_DATASET!A20)</f>
        <v/>
      </c>
      <c r="B20" s="4" t="str">
        <f>IF(SHOT_DATASET!A20="","",SHOT_DATASET!B20)</f>
        <v/>
      </c>
      <c r="C20" s="4" t="str">
        <f>IF(SHOT_DATASET!A20="","",SHOT_DATASET!C20)</f>
        <v/>
      </c>
      <c r="D20" s="4" t="str">
        <f>IF(SHOT_DATASET!A20="","",SHOT_DATASET!D20)</f>
        <v/>
      </c>
      <c r="E20" s="4" t="str">
        <f>IF(SHOT_DATASET!A20="","",SHOT_DATASET!E20)</f>
        <v/>
      </c>
      <c r="F20" s="4" t="str">
        <f>IF(SHOT_DATASET!A20="","",SHOT_DATASET!F20)</f>
        <v/>
      </c>
      <c r="G20" s="4" t="str">
        <f>IF(SHOT_DATASET!A20="","",SHOT_DATASET!G20)</f>
        <v/>
      </c>
      <c r="H20" s="4" t="str">
        <f>IF(SHOT_DATASET!A20="","",SHOT_DATASET!H20)</f>
        <v/>
      </c>
      <c r="I20" s="14" t="str">
        <f>IF(SHOT_DATASET!A20="","",SHOT_DATASET!I20)</f>
        <v/>
      </c>
    </row>
    <row r="21" spans="1:9" x14ac:dyDescent="0.3">
      <c r="A21" s="6" t="str">
        <f>IF(SHOT_DATASET!A21="","",SHOT_DATASET!A21)</f>
        <v/>
      </c>
      <c r="B21" s="4" t="str">
        <f>IF(SHOT_DATASET!A21="","",SHOT_DATASET!B21)</f>
        <v/>
      </c>
      <c r="C21" s="4" t="str">
        <f>IF(SHOT_DATASET!A21="","",SHOT_DATASET!C21)</f>
        <v/>
      </c>
      <c r="D21" s="4" t="str">
        <f>IF(SHOT_DATASET!A21="","",SHOT_DATASET!D21)</f>
        <v/>
      </c>
      <c r="E21" s="4" t="str">
        <f>IF(SHOT_DATASET!A21="","",SHOT_DATASET!E21)</f>
        <v/>
      </c>
      <c r="F21" s="4" t="str">
        <f>IF(SHOT_DATASET!A21="","",SHOT_DATASET!F21)</f>
        <v/>
      </c>
      <c r="G21" s="4" t="str">
        <f>IF(SHOT_DATASET!A21="","",SHOT_DATASET!G21)</f>
        <v/>
      </c>
      <c r="H21" s="4" t="str">
        <f>IF(SHOT_DATASET!A21="","",SHOT_DATASET!H21)</f>
        <v/>
      </c>
      <c r="I21" s="14" t="str">
        <f>IF(SHOT_DATASET!A21="","",SHOT_DATASET!I21)</f>
        <v/>
      </c>
    </row>
    <row r="22" spans="1:9" x14ac:dyDescent="0.3">
      <c r="A22" s="6" t="str">
        <f>IF(SHOT_DATASET!A22="","",SHOT_DATASET!A22)</f>
        <v/>
      </c>
      <c r="B22" s="4" t="str">
        <f>IF(SHOT_DATASET!A22="","",SHOT_DATASET!B22)</f>
        <v/>
      </c>
      <c r="C22" s="4" t="str">
        <f>IF(SHOT_DATASET!A22="","",SHOT_DATASET!C22)</f>
        <v/>
      </c>
      <c r="D22" s="4" t="str">
        <f>IF(SHOT_DATASET!A22="","",SHOT_DATASET!D22)</f>
        <v/>
      </c>
      <c r="E22" s="4" t="str">
        <f>IF(SHOT_DATASET!A22="","",SHOT_DATASET!E22)</f>
        <v/>
      </c>
      <c r="F22" s="4" t="str">
        <f>IF(SHOT_DATASET!A22="","",SHOT_DATASET!F22)</f>
        <v/>
      </c>
      <c r="G22" s="4" t="str">
        <f>IF(SHOT_DATASET!A22="","",SHOT_DATASET!G22)</f>
        <v/>
      </c>
      <c r="H22" s="4" t="str">
        <f>IF(SHOT_DATASET!A22="","",SHOT_DATASET!H22)</f>
        <v/>
      </c>
      <c r="I22" s="14" t="str">
        <f>IF(SHOT_DATASET!A22="","",SHOT_DATASET!I22)</f>
        <v/>
      </c>
    </row>
    <row r="23" spans="1:9" x14ac:dyDescent="0.3">
      <c r="A23" s="6" t="str">
        <f>IF(SHOT_DATASET!A23="","",SHOT_DATASET!A23)</f>
        <v/>
      </c>
      <c r="B23" s="4" t="str">
        <f>IF(SHOT_DATASET!A23="","",SHOT_DATASET!B23)</f>
        <v/>
      </c>
      <c r="C23" s="4" t="str">
        <f>IF(SHOT_DATASET!A23="","",SHOT_DATASET!C23)</f>
        <v/>
      </c>
      <c r="D23" s="4" t="str">
        <f>IF(SHOT_DATASET!A23="","",SHOT_DATASET!D23)</f>
        <v/>
      </c>
      <c r="E23" s="4" t="str">
        <f>IF(SHOT_DATASET!A23="","",SHOT_DATASET!E23)</f>
        <v/>
      </c>
      <c r="F23" s="4" t="str">
        <f>IF(SHOT_DATASET!A23="","",SHOT_DATASET!F23)</f>
        <v/>
      </c>
      <c r="G23" s="4" t="str">
        <f>IF(SHOT_DATASET!A23="","",SHOT_DATASET!G23)</f>
        <v/>
      </c>
      <c r="H23" s="4" t="str">
        <f>IF(SHOT_DATASET!A23="","",SHOT_DATASET!H23)</f>
        <v/>
      </c>
      <c r="I23" s="14" t="str">
        <f>IF(SHOT_DATASET!A23="","",SHOT_DATASET!I23)</f>
        <v/>
      </c>
    </row>
    <row r="24" spans="1:9" x14ac:dyDescent="0.3">
      <c r="A24" s="6" t="str">
        <f>IF(SHOT_DATASET!A24="","",SHOT_DATASET!A24)</f>
        <v/>
      </c>
      <c r="B24" s="4" t="str">
        <f>IF(SHOT_DATASET!A24="","",SHOT_DATASET!B24)</f>
        <v/>
      </c>
      <c r="C24" s="4" t="str">
        <f>IF(SHOT_DATASET!A24="","",SHOT_DATASET!C24)</f>
        <v/>
      </c>
      <c r="D24" s="4" t="str">
        <f>IF(SHOT_DATASET!A24="","",SHOT_DATASET!D24)</f>
        <v/>
      </c>
      <c r="E24" s="4" t="str">
        <f>IF(SHOT_DATASET!A24="","",SHOT_DATASET!E24)</f>
        <v/>
      </c>
      <c r="F24" s="4" t="str">
        <f>IF(SHOT_DATASET!A24="","",SHOT_DATASET!F24)</f>
        <v/>
      </c>
      <c r="G24" s="4" t="str">
        <f>IF(SHOT_DATASET!A24="","",SHOT_DATASET!G24)</f>
        <v/>
      </c>
      <c r="H24" s="4" t="str">
        <f>IF(SHOT_DATASET!A24="","",SHOT_DATASET!H24)</f>
        <v/>
      </c>
      <c r="I24" s="14" t="str">
        <f>IF(SHOT_DATASET!A24="","",SHOT_DATASET!I24)</f>
        <v/>
      </c>
    </row>
    <row r="25" spans="1:9" x14ac:dyDescent="0.3">
      <c r="A25" s="6" t="str">
        <f>IF(SHOT_DATASET!A25="","",SHOT_DATASET!A25)</f>
        <v/>
      </c>
      <c r="B25" s="4" t="str">
        <f>IF(SHOT_DATASET!A25="","",SHOT_DATASET!B25)</f>
        <v/>
      </c>
      <c r="C25" s="4" t="str">
        <f>IF(SHOT_DATASET!A25="","",SHOT_DATASET!C25)</f>
        <v/>
      </c>
      <c r="D25" s="4" t="str">
        <f>IF(SHOT_DATASET!A25="","",SHOT_DATASET!D25)</f>
        <v/>
      </c>
      <c r="E25" s="4" t="str">
        <f>IF(SHOT_DATASET!A25="","",SHOT_DATASET!E25)</f>
        <v/>
      </c>
      <c r="F25" s="4" t="str">
        <f>IF(SHOT_DATASET!A25="","",SHOT_DATASET!F25)</f>
        <v/>
      </c>
      <c r="G25" s="4" t="str">
        <f>IF(SHOT_DATASET!A25="","",SHOT_DATASET!G25)</f>
        <v/>
      </c>
      <c r="H25" s="4" t="str">
        <f>IF(SHOT_DATASET!A25="","",SHOT_DATASET!H25)</f>
        <v/>
      </c>
      <c r="I25" s="14" t="str">
        <f>IF(SHOT_DATASET!A25="","",SHOT_DATASET!I25)</f>
        <v/>
      </c>
    </row>
    <row r="26" spans="1:9" x14ac:dyDescent="0.3">
      <c r="A26" s="6" t="str">
        <f>IF(SHOT_DATASET!A26="","",SHOT_DATASET!A26)</f>
        <v/>
      </c>
      <c r="B26" s="4" t="str">
        <f>IF(SHOT_DATASET!A26="","",SHOT_DATASET!B26)</f>
        <v/>
      </c>
      <c r="C26" s="4" t="str">
        <f>IF(SHOT_DATASET!A26="","",SHOT_DATASET!C26)</f>
        <v/>
      </c>
      <c r="D26" s="4" t="str">
        <f>IF(SHOT_DATASET!A26="","",SHOT_DATASET!D26)</f>
        <v/>
      </c>
      <c r="E26" s="4" t="str">
        <f>IF(SHOT_DATASET!A26="","",SHOT_DATASET!E26)</f>
        <v/>
      </c>
      <c r="F26" s="4" t="str">
        <f>IF(SHOT_DATASET!A26="","",SHOT_DATASET!F26)</f>
        <v/>
      </c>
      <c r="G26" s="4" t="str">
        <f>IF(SHOT_DATASET!A26="","",SHOT_DATASET!G26)</f>
        <v/>
      </c>
      <c r="H26" s="4" t="str">
        <f>IF(SHOT_DATASET!A26="","",SHOT_DATASET!H26)</f>
        <v/>
      </c>
      <c r="I26" s="14" t="str">
        <f>IF(SHOT_DATASET!A26="","",SHOT_DATASET!I26)</f>
        <v/>
      </c>
    </row>
    <row r="27" spans="1:9" x14ac:dyDescent="0.3">
      <c r="A27" s="6" t="str">
        <f>IF(SHOT_DATASET!A27="","",SHOT_DATASET!A27)</f>
        <v/>
      </c>
      <c r="B27" s="4" t="str">
        <f>IF(SHOT_DATASET!A27="","",SHOT_DATASET!B27)</f>
        <v/>
      </c>
      <c r="C27" s="4" t="str">
        <f>IF(SHOT_DATASET!A27="","",SHOT_DATASET!C27)</f>
        <v/>
      </c>
      <c r="D27" s="4" t="str">
        <f>IF(SHOT_DATASET!A27="","",SHOT_DATASET!D27)</f>
        <v/>
      </c>
      <c r="E27" s="4" t="str">
        <f>IF(SHOT_DATASET!A27="","",SHOT_DATASET!E27)</f>
        <v/>
      </c>
      <c r="F27" s="4" t="str">
        <f>IF(SHOT_DATASET!A27="","",SHOT_DATASET!F27)</f>
        <v/>
      </c>
      <c r="G27" s="4" t="str">
        <f>IF(SHOT_DATASET!A27="","",SHOT_DATASET!G27)</f>
        <v/>
      </c>
      <c r="H27" s="4" t="str">
        <f>IF(SHOT_DATASET!A27="","",SHOT_DATASET!H27)</f>
        <v/>
      </c>
      <c r="I27" s="14" t="str">
        <f>IF(SHOT_DATASET!A27="","",SHOT_DATASET!I27)</f>
        <v/>
      </c>
    </row>
    <row r="28" spans="1:9" x14ac:dyDescent="0.3">
      <c r="A28" s="6" t="str">
        <f>IF(SHOT_DATASET!A28="","",SHOT_DATASET!A28)</f>
        <v/>
      </c>
      <c r="B28" s="4" t="str">
        <f>IF(SHOT_DATASET!A28="","",SHOT_DATASET!B28)</f>
        <v/>
      </c>
      <c r="C28" s="4" t="str">
        <f>IF(SHOT_DATASET!A28="","",SHOT_DATASET!C28)</f>
        <v/>
      </c>
      <c r="D28" s="4" t="str">
        <f>IF(SHOT_DATASET!A28="","",SHOT_DATASET!D28)</f>
        <v/>
      </c>
      <c r="E28" s="4" t="str">
        <f>IF(SHOT_DATASET!A28="","",SHOT_DATASET!E28)</f>
        <v/>
      </c>
      <c r="F28" s="4" t="str">
        <f>IF(SHOT_DATASET!A28="","",SHOT_DATASET!F28)</f>
        <v/>
      </c>
      <c r="G28" s="4" t="str">
        <f>IF(SHOT_DATASET!A28="","",SHOT_DATASET!G28)</f>
        <v/>
      </c>
      <c r="H28" s="4" t="str">
        <f>IF(SHOT_DATASET!A28="","",SHOT_DATASET!H28)</f>
        <v/>
      </c>
      <c r="I28" s="14" t="str">
        <f>IF(SHOT_DATASET!A28="","",SHOT_DATASET!I28)</f>
        <v/>
      </c>
    </row>
    <row r="29" spans="1:9" x14ac:dyDescent="0.3">
      <c r="A29" s="6" t="str">
        <f>IF(SHOT_DATASET!A29="","",SHOT_DATASET!A29)</f>
        <v/>
      </c>
      <c r="B29" s="4" t="str">
        <f>IF(SHOT_DATASET!A29="","",SHOT_DATASET!B29)</f>
        <v/>
      </c>
      <c r="C29" s="4" t="str">
        <f>IF(SHOT_DATASET!A29="","",SHOT_DATASET!C29)</f>
        <v/>
      </c>
      <c r="D29" s="4" t="str">
        <f>IF(SHOT_DATASET!A29="","",SHOT_DATASET!D29)</f>
        <v/>
      </c>
      <c r="E29" s="4" t="str">
        <f>IF(SHOT_DATASET!A29="","",SHOT_DATASET!E29)</f>
        <v/>
      </c>
      <c r="F29" s="4" t="str">
        <f>IF(SHOT_DATASET!A29="","",SHOT_DATASET!F29)</f>
        <v/>
      </c>
      <c r="G29" s="4" t="str">
        <f>IF(SHOT_DATASET!A29="","",SHOT_DATASET!G29)</f>
        <v/>
      </c>
      <c r="H29" s="4" t="str">
        <f>IF(SHOT_DATASET!A29="","",SHOT_DATASET!H29)</f>
        <v/>
      </c>
      <c r="I29" s="14" t="str">
        <f>IF(SHOT_DATASET!A29="","",SHOT_DATASET!I29)</f>
        <v/>
      </c>
    </row>
    <row r="30" spans="1:9" x14ac:dyDescent="0.3">
      <c r="A30" s="6" t="str">
        <f>IF(SHOT_DATASET!A30="","",SHOT_DATASET!A30)</f>
        <v/>
      </c>
      <c r="B30" s="4" t="str">
        <f>IF(SHOT_DATASET!A30="","",SHOT_DATASET!B30)</f>
        <v/>
      </c>
      <c r="C30" s="4" t="str">
        <f>IF(SHOT_DATASET!A30="","",SHOT_DATASET!C30)</f>
        <v/>
      </c>
      <c r="D30" s="4" t="str">
        <f>IF(SHOT_DATASET!A30="","",SHOT_DATASET!D30)</f>
        <v/>
      </c>
      <c r="E30" s="4" t="str">
        <f>IF(SHOT_DATASET!A30="","",SHOT_DATASET!E30)</f>
        <v/>
      </c>
      <c r="F30" s="4" t="str">
        <f>IF(SHOT_DATASET!A30="","",SHOT_DATASET!F30)</f>
        <v/>
      </c>
      <c r="G30" s="4" t="str">
        <f>IF(SHOT_DATASET!A30="","",SHOT_DATASET!G30)</f>
        <v/>
      </c>
      <c r="H30" s="4" t="str">
        <f>IF(SHOT_DATASET!A30="","",SHOT_DATASET!H30)</f>
        <v/>
      </c>
      <c r="I30" s="14" t="str">
        <f>IF(SHOT_DATASET!A30="","",SHOT_DATASET!I30)</f>
        <v/>
      </c>
    </row>
    <row r="31" spans="1:9" x14ac:dyDescent="0.3">
      <c r="A31" s="6" t="str">
        <f>IF(SHOT_DATASET!A31="","",SHOT_DATASET!A31)</f>
        <v/>
      </c>
      <c r="B31" s="4" t="str">
        <f>IF(SHOT_DATASET!A31="","",SHOT_DATASET!B31)</f>
        <v/>
      </c>
      <c r="C31" s="4" t="str">
        <f>IF(SHOT_DATASET!A31="","",SHOT_DATASET!C31)</f>
        <v/>
      </c>
      <c r="D31" s="4" t="str">
        <f>IF(SHOT_DATASET!A31="","",SHOT_DATASET!D31)</f>
        <v/>
      </c>
      <c r="E31" s="4" t="str">
        <f>IF(SHOT_DATASET!A31="","",SHOT_DATASET!E31)</f>
        <v/>
      </c>
      <c r="F31" s="4" t="str">
        <f>IF(SHOT_DATASET!A31="","",SHOT_DATASET!F31)</f>
        <v/>
      </c>
      <c r="G31" s="4" t="str">
        <f>IF(SHOT_DATASET!A31="","",SHOT_DATASET!G31)</f>
        <v/>
      </c>
      <c r="H31" s="4" t="str">
        <f>IF(SHOT_DATASET!A31="","",SHOT_DATASET!H31)</f>
        <v/>
      </c>
      <c r="I31" s="14" t="str">
        <f>IF(SHOT_DATASET!A31="","",SHOT_DATASET!I31)</f>
        <v/>
      </c>
    </row>
    <row r="32" spans="1:9" x14ac:dyDescent="0.3">
      <c r="A32" s="6" t="str">
        <f>IF(SHOT_DATASET!A32="","",SHOT_DATASET!A32)</f>
        <v/>
      </c>
      <c r="B32" s="4" t="str">
        <f>IF(SHOT_DATASET!A32="","",SHOT_DATASET!B32)</f>
        <v/>
      </c>
      <c r="C32" s="4" t="str">
        <f>IF(SHOT_DATASET!A32="","",SHOT_DATASET!C32)</f>
        <v/>
      </c>
      <c r="D32" s="4" t="str">
        <f>IF(SHOT_DATASET!A32="","",SHOT_DATASET!D32)</f>
        <v/>
      </c>
      <c r="E32" s="4" t="str">
        <f>IF(SHOT_DATASET!A32="","",SHOT_DATASET!E32)</f>
        <v/>
      </c>
      <c r="F32" s="4" t="str">
        <f>IF(SHOT_DATASET!A32="","",SHOT_DATASET!F32)</f>
        <v/>
      </c>
      <c r="G32" s="4" t="str">
        <f>IF(SHOT_DATASET!A32="","",SHOT_DATASET!G32)</f>
        <v/>
      </c>
      <c r="H32" s="4" t="str">
        <f>IF(SHOT_DATASET!A32="","",SHOT_DATASET!H32)</f>
        <v/>
      </c>
      <c r="I32" s="14" t="str">
        <f>IF(SHOT_DATASET!A32="","",SHOT_DATASET!I32)</f>
        <v/>
      </c>
    </row>
    <row r="33" spans="1:9" x14ac:dyDescent="0.3">
      <c r="A33" s="6" t="str">
        <f>IF(SHOT_DATASET!A33="","",SHOT_DATASET!A33)</f>
        <v/>
      </c>
      <c r="B33" s="4" t="str">
        <f>IF(SHOT_DATASET!A33="","",SHOT_DATASET!B33)</f>
        <v/>
      </c>
      <c r="C33" s="4" t="str">
        <f>IF(SHOT_DATASET!A33="","",SHOT_DATASET!C33)</f>
        <v/>
      </c>
      <c r="D33" s="4" t="str">
        <f>IF(SHOT_DATASET!A33="","",SHOT_DATASET!D33)</f>
        <v/>
      </c>
      <c r="E33" s="4" t="str">
        <f>IF(SHOT_DATASET!A33="","",SHOT_DATASET!E33)</f>
        <v/>
      </c>
      <c r="F33" s="4" t="str">
        <f>IF(SHOT_DATASET!A33="","",SHOT_DATASET!F33)</f>
        <v/>
      </c>
      <c r="G33" s="4" t="str">
        <f>IF(SHOT_DATASET!A33="","",SHOT_DATASET!G33)</f>
        <v/>
      </c>
      <c r="H33" s="4" t="str">
        <f>IF(SHOT_DATASET!A33="","",SHOT_DATASET!H33)</f>
        <v/>
      </c>
      <c r="I33" s="14" t="str">
        <f>IF(SHOT_DATASET!A33="","",SHOT_DATASET!I33)</f>
        <v/>
      </c>
    </row>
    <row r="34" spans="1:9" x14ac:dyDescent="0.3">
      <c r="A34" s="6" t="str">
        <f>IF(SHOT_DATASET!A34="","",SHOT_DATASET!A34)</f>
        <v/>
      </c>
      <c r="B34" s="4" t="str">
        <f>IF(SHOT_DATASET!A34="","",SHOT_DATASET!B34)</f>
        <v/>
      </c>
      <c r="C34" s="4" t="str">
        <f>IF(SHOT_DATASET!A34="","",SHOT_DATASET!C34)</f>
        <v/>
      </c>
      <c r="D34" s="4" t="str">
        <f>IF(SHOT_DATASET!A34="","",SHOT_DATASET!D34)</f>
        <v/>
      </c>
      <c r="E34" s="4" t="str">
        <f>IF(SHOT_DATASET!A34="","",SHOT_DATASET!E34)</f>
        <v/>
      </c>
      <c r="F34" s="4" t="str">
        <f>IF(SHOT_DATASET!A34="","",SHOT_DATASET!F34)</f>
        <v/>
      </c>
      <c r="G34" s="4" t="str">
        <f>IF(SHOT_DATASET!A34="","",SHOT_DATASET!G34)</f>
        <v/>
      </c>
      <c r="H34" s="4" t="str">
        <f>IF(SHOT_DATASET!A34="","",SHOT_DATASET!H34)</f>
        <v/>
      </c>
      <c r="I34" s="14" t="str">
        <f>IF(SHOT_DATASET!A34="","",SHOT_DATASET!I34)</f>
        <v/>
      </c>
    </row>
    <row r="35" spans="1:9" x14ac:dyDescent="0.3">
      <c r="A35" s="6" t="str">
        <f>IF(SHOT_DATASET!A35="","",SHOT_DATASET!A35)</f>
        <v/>
      </c>
      <c r="B35" s="4" t="str">
        <f>IF(SHOT_DATASET!A35="","",SHOT_DATASET!B35)</f>
        <v/>
      </c>
      <c r="C35" s="4" t="str">
        <f>IF(SHOT_DATASET!A35="","",SHOT_DATASET!C35)</f>
        <v/>
      </c>
      <c r="D35" s="4" t="str">
        <f>IF(SHOT_DATASET!A35="","",SHOT_DATASET!D35)</f>
        <v/>
      </c>
      <c r="E35" s="4" t="str">
        <f>IF(SHOT_DATASET!A35="","",SHOT_DATASET!E35)</f>
        <v/>
      </c>
      <c r="F35" s="4" t="str">
        <f>IF(SHOT_DATASET!A35="","",SHOT_DATASET!F35)</f>
        <v/>
      </c>
      <c r="G35" s="4" t="str">
        <f>IF(SHOT_DATASET!A35="","",SHOT_DATASET!G35)</f>
        <v/>
      </c>
      <c r="H35" s="4" t="str">
        <f>IF(SHOT_DATASET!A35="","",SHOT_DATASET!H35)</f>
        <v/>
      </c>
      <c r="I35" s="14" t="str">
        <f>IF(SHOT_DATASET!A35="","",SHOT_DATASET!I35)</f>
        <v/>
      </c>
    </row>
    <row r="36" spans="1:9" x14ac:dyDescent="0.3">
      <c r="A36" s="6" t="str">
        <f>IF(SHOT_DATASET!A36="","",SHOT_DATASET!A36)</f>
        <v/>
      </c>
      <c r="B36" s="4" t="str">
        <f>IF(SHOT_DATASET!A36="","",SHOT_DATASET!B36)</f>
        <v/>
      </c>
      <c r="C36" s="4" t="str">
        <f>IF(SHOT_DATASET!A36="","",SHOT_DATASET!C36)</f>
        <v/>
      </c>
      <c r="D36" s="4" t="str">
        <f>IF(SHOT_DATASET!A36="","",SHOT_DATASET!D36)</f>
        <v/>
      </c>
      <c r="E36" s="4" t="str">
        <f>IF(SHOT_DATASET!A36="","",SHOT_DATASET!E36)</f>
        <v/>
      </c>
      <c r="F36" s="4" t="str">
        <f>IF(SHOT_DATASET!A36="","",SHOT_DATASET!F36)</f>
        <v/>
      </c>
      <c r="G36" s="4" t="str">
        <f>IF(SHOT_DATASET!A36="","",SHOT_DATASET!G36)</f>
        <v/>
      </c>
      <c r="H36" s="4" t="str">
        <f>IF(SHOT_DATASET!A36="","",SHOT_DATASET!H36)</f>
        <v/>
      </c>
      <c r="I36" s="14" t="str">
        <f>IF(SHOT_DATASET!A36="","",SHOT_DATASET!I36)</f>
        <v/>
      </c>
    </row>
    <row r="37" spans="1:9" x14ac:dyDescent="0.3">
      <c r="A37" s="6" t="str">
        <f>IF(SHOT_DATASET!A37="","",SHOT_DATASET!A37)</f>
        <v/>
      </c>
      <c r="B37" s="4" t="str">
        <f>IF(SHOT_DATASET!A37="","",SHOT_DATASET!B37)</f>
        <v/>
      </c>
      <c r="C37" s="4" t="str">
        <f>IF(SHOT_DATASET!A37="","",SHOT_DATASET!C37)</f>
        <v/>
      </c>
      <c r="D37" s="4" t="str">
        <f>IF(SHOT_DATASET!A37="","",SHOT_DATASET!D37)</f>
        <v/>
      </c>
      <c r="E37" s="4" t="str">
        <f>IF(SHOT_DATASET!A37="","",SHOT_DATASET!E37)</f>
        <v/>
      </c>
      <c r="F37" s="4" t="str">
        <f>IF(SHOT_DATASET!A37="","",SHOT_DATASET!F37)</f>
        <v/>
      </c>
      <c r="G37" s="4" t="str">
        <f>IF(SHOT_DATASET!A37="","",SHOT_DATASET!G37)</f>
        <v/>
      </c>
      <c r="H37" s="4" t="str">
        <f>IF(SHOT_DATASET!A37="","",SHOT_DATASET!H37)</f>
        <v/>
      </c>
      <c r="I37" s="14" t="str">
        <f>IF(SHOT_DATASET!A37="","",SHOT_DATASET!I37)</f>
        <v/>
      </c>
    </row>
    <row r="38" spans="1:9" x14ac:dyDescent="0.3">
      <c r="A38" s="6" t="str">
        <f>IF(SHOT_DATASET!A38="","",SHOT_DATASET!A38)</f>
        <v/>
      </c>
      <c r="B38" s="4" t="str">
        <f>IF(SHOT_DATASET!A38="","",SHOT_DATASET!B38)</f>
        <v/>
      </c>
      <c r="C38" s="4" t="str">
        <f>IF(SHOT_DATASET!A38="","",SHOT_DATASET!C38)</f>
        <v/>
      </c>
      <c r="D38" s="4" t="str">
        <f>IF(SHOT_DATASET!A38="","",SHOT_DATASET!D38)</f>
        <v/>
      </c>
      <c r="E38" s="4" t="str">
        <f>IF(SHOT_DATASET!A38="","",SHOT_DATASET!E38)</f>
        <v/>
      </c>
      <c r="F38" s="4" t="str">
        <f>IF(SHOT_DATASET!A38="","",SHOT_DATASET!F38)</f>
        <v/>
      </c>
      <c r="G38" s="4" t="str">
        <f>IF(SHOT_DATASET!A38="","",SHOT_DATASET!G38)</f>
        <v/>
      </c>
      <c r="H38" s="4" t="str">
        <f>IF(SHOT_DATASET!A38="","",SHOT_DATASET!H38)</f>
        <v/>
      </c>
      <c r="I38" s="14" t="str">
        <f>IF(SHOT_DATASET!A38="","",SHOT_DATASET!I38)</f>
        <v/>
      </c>
    </row>
    <row r="39" spans="1:9" x14ac:dyDescent="0.3">
      <c r="A39" s="6" t="str">
        <f>IF(SHOT_DATASET!A39="","",SHOT_DATASET!A39)</f>
        <v/>
      </c>
      <c r="B39" s="4" t="str">
        <f>IF(SHOT_DATASET!A39="","",SHOT_DATASET!B39)</f>
        <v/>
      </c>
      <c r="C39" s="4" t="str">
        <f>IF(SHOT_DATASET!A39="","",SHOT_DATASET!C39)</f>
        <v/>
      </c>
      <c r="D39" s="4" t="str">
        <f>IF(SHOT_DATASET!A39="","",SHOT_DATASET!D39)</f>
        <v/>
      </c>
      <c r="E39" s="4" t="str">
        <f>IF(SHOT_DATASET!A39="","",SHOT_DATASET!E39)</f>
        <v/>
      </c>
      <c r="F39" s="4" t="str">
        <f>IF(SHOT_DATASET!A39="","",SHOT_DATASET!F39)</f>
        <v/>
      </c>
      <c r="G39" s="4" t="str">
        <f>IF(SHOT_DATASET!A39="","",SHOT_DATASET!G39)</f>
        <v/>
      </c>
      <c r="H39" s="4" t="str">
        <f>IF(SHOT_DATASET!A39="","",SHOT_DATASET!H39)</f>
        <v/>
      </c>
      <c r="I39" s="14" t="str">
        <f>IF(SHOT_DATASET!A39="","",SHOT_DATASET!I39)</f>
        <v/>
      </c>
    </row>
    <row r="40" spans="1:9" x14ac:dyDescent="0.3">
      <c r="A40" s="6" t="str">
        <f>IF(SHOT_DATASET!A40="","",SHOT_DATASET!A40)</f>
        <v/>
      </c>
      <c r="B40" s="4" t="str">
        <f>IF(SHOT_DATASET!A40="","",SHOT_DATASET!B40)</f>
        <v/>
      </c>
      <c r="C40" s="4" t="str">
        <f>IF(SHOT_DATASET!A40="","",SHOT_DATASET!C40)</f>
        <v/>
      </c>
      <c r="D40" s="4" t="str">
        <f>IF(SHOT_DATASET!A40="","",SHOT_DATASET!D40)</f>
        <v/>
      </c>
      <c r="E40" s="4" t="str">
        <f>IF(SHOT_DATASET!A40="","",SHOT_DATASET!E40)</f>
        <v/>
      </c>
      <c r="F40" s="4" t="str">
        <f>IF(SHOT_DATASET!A40="","",SHOT_DATASET!F40)</f>
        <v/>
      </c>
      <c r="G40" s="4" t="str">
        <f>IF(SHOT_DATASET!A40="","",SHOT_DATASET!G40)</f>
        <v/>
      </c>
      <c r="H40" s="4" t="str">
        <f>IF(SHOT_DATASET!A40="","",SHOT_DATASET!H40)</f>
        <v/>
      </c>
      <c r="I40" s="14" t="str">
        <f>IF(SHOT_DATASET!A40="","",SHOT_DATASET!I40)</f>
        <v/>
      </c>
    </row>
    <row r="41" spans="1:9" x14ac:dyDescent="0.3">
      <c r="A41" s="6" t="str">
        <f>IF(SHOT_DATASET!A41="","",SHOT_DATASET!A41)</f>
        <v/>
      </c>
      <c r="B41" s="4" t="str">
        <f>IF(SHOT_DATASET!A41="","",SHOT_DATASET!B41)</f>
        <v/>
      </c>
      <c r="C41" s="4" t="str">
        <f>IF(SHOT_DATASET!A41="","",SHOT_DATASET!C41)</f>
        <v/>
      </c>
      <c r="D41" s="4" t="str">
        <f>IF(SHOT_DATASET!A41="","",SHOT_DATASET!D41)</f>
        <v/>
      </c>
      <c r="E41" s="4" t="str">
        <f>IF(SHOT_DATASET!A41="","",SHOT_DATASET!E41)</f>
        <v/>
      </c>
      <c r="F41" s="4" t="str">
        <f>IF(SHOT_DATASET!A41="","",SHOT_DATASET!F41)</f>
        <v/>
      </c>
      <c r="G41" s="4" t="str">
        <f>IF(SHOT_DATASET!A41="","",SHOT_DATASET!G41)</f>
        <v/>
      </c>
      <c r="H41" s="4" t="str">
        <f>IF(SHOT_DATASET!A41="","",SHOT_DATASET!H41)</f>
        <v/>
      </c>
      <c r="I41" s="14" t="str">
        <f>IF(SHOT_DATASET!A41="","",SHOT_DATASET!I41)</f>
        <v/>
      </c>
    </row>
    <row r="42" spans="1:9" x14ac:dyDescent="0.3">
      <c r="A42" s="6" t="str">
        <f>IF(SHOT_DATASET!A42="","",SHOT_DATASET!A42)</f>
        <v/>
      </c>
      <c r="B42" s="4" t="str">
        <f>IF(SHOT_DATASET!A42="","",SHOT_DATASET!B42)</f>
        <v/>
      </c>
      <c r="C42" s="4" t="str">
        <f>IF(SHOT_DATASET!A42="","",SHOT_DATASET!C42)</f>
        <v/>
      </c>
      <c r="D42" s="4" t="str">
        <f>IF(SHOT_DATASET!A42="","",SHOT_DATASET!D42)</f>
        <v/>
      </c>
      <c r="E42" s="4" t="str">
        <f>IF(SHOT_DATASET!A42="","",SHOT_DATASET!E42)</f>
        <v/>
      </c>
      <c r="F42" s="4" t="str">
        <f>IF(SHOT_DATASET!A42="","",SHOT_DATASET!F42)</f>
        <v/>
      </c>
      <c r="G42" s="4" t="str">
        <f>IF(SHOT_DATASET!A42="","",SHOT_DATASET!G42)</f>
        <v/>
      </c>
      <c r="H42" s="4" t="str">
        <f>IF(SHOT_DATASET!A42="","",SHOT_DATASET!H42)</f>
        <v/>
      </c>
      <c r="I42" s="14" t="str">
        <f>IF(SHOT_DATASET!A42="","",SHOT_DATASET!I42)</f>
        <v/>
      </c>
    </row>
    <row r="43" spans="1:9" x14ac:dyDescent="0.3">
      <c r="A43" s="6" t="str">
        <f>IF(SHOT_DATASET!A43="","",SHOT_DATASET!A43)</f>
        <v/>
      </c>
      <c r="B43" s="4" t="str">
        <f>IF(SHOT_DATASET!A43="","",SHOT_DATASET!B43)</f>
        <v/>
      </c>
      <c r="C43" s="4" t="str">
        <f>IF(SHOT_DATASET!A43="","",SHOT_DATASET!C43)</f>
        <v/>
      </c>
      <c r="D43" s="4" t="str">
        <f>IF(SHOT_DATASET!A43="","",SHOT_DATASET!D43)</f>
        <v/>
      </c>
      <c r="E43" s="4" t="str">
        <f>IF(SHOT_DATASET!A43="","",SHOT_DATASET!E43)</f>
        <v/>
      </c>
      <c r="F43" s="4" t="str">
        <f>IF(SHOT_DATASET!A43="","",SHOT_DATASET!F43)</f>
        <v/>
      </c>
      <c r="G43" s="4" t="str">
        <f>IF(SHOT_DATASET!A43="","",SHOT_DATASET!G43)</f>
        <v/>
      </c>
      <c r="H43" s="4" t="str">
        <f>IF(SHOT_DATASET!A43="","",SHOT_DATASET!H43)</f>
        <v/>
      </c>
      <c r="I43" s="14" t="str">
        <f>IF(SHOT_DATASET!A43="","",SHOT_DATASET!I43)</f>
        <v/>
      </c>
    </row>
    <row r="44" spans="1:9" x14ac:dyDescent="0.3">
      <c r="A44" s="6" t="str">
        <f>IF(SHOT_DATASET!A44="","",SHOT_DATASET!A44)</f>
        <v/>
      </c>
      <c r="B44" s="4" t="str">
        <f>IF(SHOT_DATASET!A44="","",SHOT_DATASET!B44)</f>
        <v/>
      </c>
      <c r="C44" s="4" t="str">
        <f>IF(SHOT_DATASET!A44="","",SHOT_DATASET!C44)</f>
        <v/>
      </c>
      <c r="D44" s="4" t="str">
        <f>IF(SHOT_DATASET!A44="","",SHOT_DATASET!D44)</f>
        <v/>
      </c>
      <c r="E44" s="4" t="str">
        <f>IF(SHOT_DATASET!A44="","",SHOT_DATASET!E44)</f>
        <v/>
      </c>
      <c r="F44" s="4" t="str">
        <f>IF(SHOT_DATASET!A44="","",SHOT_DATASET!F44)</f>
        <v/>
      </c>
      <c r="G44" s="4" t="str">
        <f>IF(SHOT_DATASET!A44="","",SHOT_DATASET!G44)</f>
        <v/>
      </c>
      <c r="H44" s="4" t="str">
        <f>IF(SHOT_DATASET!A44="","",SHOT_DATASET!H44)</f>
        <v/>
      </c>
      <c r="I44" s="14" t="str">
        <f>IF(SHOT_DATASET!A44="","",SHOT_DATASET!I44)</f>
        <v/>
      </c>
    </row>
    <row r="45" spans="1:9" x14ac:dyDescent="0.3">
      <c r="A45" s="6" t="str">
        <f>IF(SHOT_DATASET!A45="","",SHOT_DATASET!A45)</f>
        <v/>
      </c>
      <c r="B45" s="4" t="str">
        <f>IF(SHOT_DATASET!A45="","",SHOT_DATASET!B45)</f>
        <v/>
      </c>
      <c r="C45" s="4" t="str">
        <f>IF(SHOT_DATASET!A45="","",SHOT_DATASET!C45)</f>
        <v/>
      </c>
      <c r="D45" s="4" t="str">
        <f>IF(SHOT_DATASET!A45="","",SHOT_DATASET!D45)</f>
        <v/>
      </c>
      <c r="E45" s="4" t="str">
        <f>IF(SHOT_DATASET!A45="","",SHOT_DATASET!E45)</f>
        <v/>
      </c>
      <c r="F45" s="4" t="str">
        <f>IF(SHOT_DATASET!A45="","",SHOT_DATASET!F45)</f>
        <v/>
      </c>
      <c r="G45" s="4" t="str">
        <f>IF(SHOT_DATASET!A45="","",SHOT_DATASET!G45)</f>
        <v/>
      </c>
      <c r="H45" s="4" t="str">
        <f>IF(SHOT_DATASET!A45="","",SHOT_DATASET!H45)</f>
        <v/>
      </c>
      <c r="I45" s="14" t="str">
        <f>IF(SHOT_DATASET!A45="","",SHOT_DATASET!I45)</f>
        <v/>
      </c>
    </row>
    <row r="46" spans="1:9" x14ac:dyDescent="0.3">
      <c r="A46" s="6" t="str">
        <f>IF(SHOT_DATASET!A46="","",SHOT_DATASET!A46)</f>
        <v/>
      </c>
      <c r="B46" s="4" t="str">
        <f>IF(SHOT_DATASET!A46="","",SHOT_DATASET!B46)</f>
        <v/>
      </c>
      <c r="C46" s="4" t="str">
        <f>IF(SHOT_DATASET!A46="","",SHOT_DATASET!C46)</f>
        <v/>
      </c>
      <c r="D46" s="4" t="str">
        <f>IF(SHOT_DATASET!A46="","",SHOT_DATASET!D46)</f>
        <v/>
      </c>
      <c r="E46" s="4" t="str">
        <f>IF(SHOT_DATASET!A46="","",SHOT_DATASET!E46)</f>
        <v/>
      </c>
      <c r="F46" s="4" t="str">
        <f>IF(SHOT_DATASET!A46="","",SHOT_DATASET!F46)</f>
        <v/>
      </c>
      <c r="G46" s="4" t="str">
        <f>IF(SHOT_DATASET!A46="","",SHOT_DATASET!G46)</f>
        <v/>
      </c>
      <c r="H46" s="4" t="str">
        <f>IF(SHOT_DATASET!A46="","",SHOT_DATASET!H46)</f>
        <v/>
      </c>
      <c r="I46" s="14" t="str">
        <f>IF(SHOT_DATASET!A46="","",SHOT_DATASET!I46)</f>
        <v/>
      </c>
    </row>
    <row r="47" spans="1:9" x14ac:dyDescent="0.3">
      <c r="A47" s="6" t="str">
        <f>IF(SHOT_DATASET!A47="","",SHOT_DATASET!A47)</f>
        <v/>
      </c>
      <c r="B47" s="4" t="str">
        <f>IF(SHOT_DATASET!A47="","",SHOT_DATASET!B47)</f>
        <v/>
      </c>
      <c r="C47" s="4" t="str">
        <f>IF(SHOT_DATASET!A47="","",SHOT_DATASET!C47)</f>
        <v/>
      </c>
      <c r="D47" s="4" t="str">
        <f>IF(SHOT_DATASET!A47="","",SHOT_DATASET!D47)</f>
        <v/>
      </c>
      <c r="E47" s="4" t="str">
        <f>IF(SHOT_DATASET!A47="","",SHOT_DATASET!E47)</f>
        <v/>
      </c>
      <c r="F47" s="4" t="str">
        <f>IF(SHOT_DATASET!A47="","",SHOT_DATASET!F47)</f>
        <v/>
      </c>
      <c r="G47" s="4" t="str">
        <f>IF(SHOT_DATASET!A47="","",SHOT_DATASET!G47)</f>
        <v/>
      </c>
      <c r="H47" s="4" t="str">
        <f>IF(SHOT_DATASET!A47="","",SHOT_DATASET!H47)</f>
        <v/>
      </c>
      <c r="I47" s="14" t="str">
        <f>IF(SHOT_DATASET!A47="","",SHOT_DATASET!I47)</f>
        <v/>
      </c>
    </row>
    <row r="48" spans="1:9" x14ac:dyDescent="0.3">
      <c r="A48" s="6" t="str">
        <f>IF(SHOT_DATASET!A48="","",SHOT_DATASET!A48)</f>
        <v/>
      </c>
      <c r="B48" s="4" t="str">
        <f>IF(SHOT_DATASET!A48="","",SHOT_DATASET!B48)</f>
        <v/>
      </c>
      <c r="C48" s="4" t="str">
        <f>IF(SHOT_DATASET!A48="","",SHOT_DATASET!C48)</f>
        <v/>
      </c>
      <c r="D48" s="4" t="str">
        <f>IF(SHOT_DATASET!A48="","",SHOT_DATASET!D48)</f>
        <v/>
      </c>
      <c r="E48" s="4" t="str">
        <f>IF(SHOT_DATASET!A48="","",SHOT_DATASET!E48)</f>
        <v/>
      </c>
      <c r="F48" s="4" t="str">
        <f>IF(SHOT_DATASET!A48="","",SHOT_DATASET!F48)</f>
        <v/>
      </c>
      <c r="G48" s="4" t="str">
        <f>IF(SHOT_DATASET!A48="","",SHOT_DATASET!G48)</f>
        <v/>
      </c>
      <c r="H48" s="4" t="str">
        <f>IF(SHOT_DATASET!A48="","",SHOT_DATASET!H48)</f>
        <v/>
      </c>
      <c r="I48" s="14" t="str">
        <f>IF(SHOT_DATASET!A48="","",SHOT_DATASET!I48)</f>
        <v/>
      </c>
    </row>
    <row r="49" spans="1:9" x14ac:dyDescent="0.3">
      <c r="A49" s="6" t="str">
        <f>IF(SHOT_DATASET!A49="","",SHOT_DATASET!A49)</f>
        <v/>
      </c>
      <c r="B49" s="4" t="str">
        <f>IF(SHOT_DATASET!A49="","",SHOT_DATASET!B49)</f>
        <v/>
      </c>
      <c r="C49" s="4" t="str">
        <f>IF(SHOT_DATASET!A49="","",SHOT_DATASET!C49)</f>
        <v/>
      </c>
      <c r="D49" s="4" t="str">
        <f>IF(SHOT_DATASET!A49="","",SHOT_DATASET!D49)</f>
        <v/>
      </c>
      <c r="E49" s="4" t="str">
        <f>IF(SHOT_DATASET!A49="","",SHOT_DATASET!E49)</f>
        <v/>
      </c>
      <c r="F49" s="4" t="str">
        <f>IF(SHOT_DATASET!A49="","",SHOT_DATASET!F49)</f>
        <v/>
      </c>
      <c r="G49" s="4" t="str">
        <f>IF(SHOT_DATASET!A49="","",SHOT_DATASET!G49)</f>
        <v/>
      </c>
      <c r="H49" s="4" t="str">
        <f>IF(SHOT_DATASET!A49="","",SHOT_DATASET!H49)</f>
        <v/>
      </c>
      <c r="I49" s="14" t="str">
        <f>IF(SHOT_DATASET!A49="","",SHOT_DATASET!I49)</f>
        <v/>
      </c>
    </row>
    <row r="50" spans="1:9" x14ac:dyDescent="0.3">
      <c r="A50" s="6" t="str">
        <f>IF(SHOT_DATASET!A50="","",SHOT_DATASET!A50)</f>
        <v/>
      </c>
      <c r="B50" s="4" t="str">
        <f>IF(SHOT_DATASET!A50="","",SHOT_DATASET!B50)</f>
        <v/>
      </c>
      <c r="C50" s="4" t="str">
        <f>IF(SHOT_DATASET!A50="","",SHOT_DATASET!C50)</f>
        <v/>
      </c>
      <c r="D50" s="4" t="str">
        <f>IF(SHOT_DATASET!A50="","",SHOT_DATASET!D50)</f>
        <v/>
      </c>
      <c r="E50" s="4" t="str">
        <f>IF(SHOT_DATASET!A50="","",SHOT_DATASET!E50)</f>
        <v/>
      </c>
      <c r="F50" s="4" t="str">
        <f>IF(SHOT_DATASET!A50="","",SHOT_DATASET!F50)</f>
        <v/>
      </c>
      <c r="G50" s="4" t="str">
        <f>IF(SHOT_DATASET!A50="","",SHOT_DATASET!G50)</f>
        <v/>
      </c>
      <c r="H50" s="4" t="str">
        <f>IF(SHOT_DATASET!A50="","",SHOT_DATASET!H50)</f>
        <v/>
      </c>
      <c r="I50" s="14" t="str">
        <f>IF(SHOT_DATASET!A50="","",SHOT_DATASET!I50)</f>
        <v/>
      </c>
    </row>
    <row r="51" spans="1:9" x14ac:dyDescent="0.3">
      <c r="A51" s="6" t="str">
        <f>IF(SHOT_DATASET!A51="","",SHOT_DATASET!A51)</f>
        <v/>
      </c>
      <c r="B51" s="4" t="str">
        <f>IF(SHOT_DATASET!A51="","",SHOT_DATASET!B51)</f>
        <v/>
      </c>
      <c r="C51" s="4" t="str">
        <f>IF(SHOT_DATASET!A51="","",SHOT_DATASET!C51)</f>
        <v/>
      </c>
      <c r="D51" s="4" t="str">
        <f>IF(SHOT_DATASET!A51="","",SHOT_DATASET!D51)</f>
        <v/>
      </c>
      <c r="E51" s="4" t="str">
        <f>IF(SHOT_DATASET!A51="","",SHOT_DATASET!E51)</f>
        <v/>
      </c>
      <c r="F51" s="4" t="str">
        <f>IF(SHOT_DATASET!A51="","",SHOT_DATASET!F51)</f>
        <v/>
      </c>
      <c r="G51" s="4" t="str">
        <f>IF(SHOT_DATASET!A51="","",SHOT_DATASET!G51)</f>
        <v/>
      </c>
      <c r="H51" s="4" t="str">
        <f>IF(SHOT_DATASET!A51="","",SHOT_DATASET!H51)</f>
        <v/>
      </c>
      <c r="I51" s="14" t="str">
        <f>IF(SHOT_DATASET!A51="","",SHOT_DATASET!I51)</f>
        <v/>
      </c>
    </row>
    <row r="52" spans="1:9" x14ac:dyDescent="0.3">
      <c r="A52" s="6" t="str">
        <f>IF(SHOT_DATASET!A52="","",SHOT_DATASET!A52)</f>
        <v/>
      </c>
      <c r="B52" s="4" t="str">
        <f>IF(SHOT_DATASET!A52="","",SHOT_DATASET!B52)</f>
        <v/>
      </c>
      <c r="C52" s="4" t="str">
        <f>IF(SHOT_DATASET!A52="","",SHOT_DATASET!C52)</f>
        <v/>
      </c>
      <c r="D52" s="4" t="str">
        <f>IF(SHOT_DATASET!A52="","",SHOT_DATASET!D52)</f>
        <v/>
      </c>
      <c r="E52" s="4" t="str">
        <f>IF(SHOT_DATASET!A52="","",SHOT_DATASET!E52)</f>
        <v/>
      </c>
      <c r="F52" s="4" t="str">
        <f>IF(SHOT_DATASET!A52="","",SHOT_DATASET!F52)</f>
        <v/>
      </c>
      <c r="G52" s="4" t="str">
        <f>IF(SHOT_DATASET!A52="","",SHOT_DATASET!G52)</f>
        <v/>
      </c>
      <c r="H52" s="4" t="str">
        <f>IF(SHOT_DATASET!A52="","",SHOT_DATASET!H52)</f>
        <v/>
      </c>
      <c r="I52" s="14" t="str">
        <f>IF(SHOT_DATASET!A52="","",SHOT_DATASET!I52)</f>
        <v/>
      </c>
    </row>
    <row r="53" spans="1:9" x14ac:dyDescent="0.3">
      <c r="A53" s="6" t="str">
        <f>IF(SHOT_DATASET!A53="","",SHOT_DATASET!A53)</f>
        <v/>
      </c>
      <c r="B53" s="4" t="str">
        <f>IF(SHOT_DATASET!A53="","",SHOT_DATASET!B53)</f>
        <v/>
      </c>
      <c r="C53" s="4" t="str">
        <f>IF(SHOT_DATASET!A53="","",SHOT_DATASET!C53)</f>
        <v/>
      </c>
      <c r="D53" s="4" t="str">
        <f>IF(SHOT_DATASET!A53="","",SHOT_DATASET!D53)</f>
        <v/>
      </c>
      <c r="E53" s="4" t="str">
        <f>IF(SHOT_DATASET!A53="","",SHOT_DATASET!E53)</f>
        <v/>
      </c>
      <c r="F53" s="4" t="str">
        <f>IF(SHOT_DATASET!A53="","",SHOT_DATASET!F53)</f>
        <v/>
      </c>
      <c r="G53" s="4" t="str">
        <f>IF(SHOT_DATASET!A53="","",SHOT_DATASET!G53)</f>
        <v/>
      </c>
      <c r="H53" s="4" t="str">
        <f>IF(SHOT_DATASET!A53="","",SHOT_DATASET!H53)</f>
        <v/>
      </c>
      <c r="I53" s="14" t="str">
        <f>IF(SHOT_DATASET!A53="","",SHOT_DATASET!I53)</f>
        <v/>
      </c>
    </row>
    <row r="54" spans="1:9" x14ac:dyDescent="0.3">
      <c r="A54" s="6" t="str">
        <f>IF(SHOT_DATASET!A54="","",SHOT_DATASET!A54)</f>
        <v/>
      </c>
      <c r="B54" s="4" t="str">
        <f>IF(SHOT_DATASET!A54="","",SHOT_DATASET!B54)</f>
        <v/>
      </c>
      <c r="C54" s="4" t="str">
        <f>IF(SHOT_DATASET!A54="","",SHOT_DATASET!C54)</f>
        <v/>
      </c>
      <c r="D54" s="4" t="str">
        <f>IF(SHOT_DATASET!A54="","",SHOT_DATASET!D54)</f>
        <v/>
      </c>
      <c r="E54" s="4" t="str">
        <f>IF(SHOT_DATASET!A54="","",SHOT_DATASET!E54)</f>
        <v/>
      </c>
      <c r="F54" s="4" t="str">
        <f>IF(SHOT_DATASET!A54="","",SHOT_DATASET!F54)</f>
        <v/>
      </c>
      <c r="G54" s="4" t="str">
        <f>IF(SHOT_DATASET!A54="","",SHOT_DATASET!G54)</f>
        <v/>
      </c>
      <c r="H54" s="4" t="str">
        <f>IF(SHOT_DATASET!A54="","",SHOT_DATASET!H54)</f>
        <v/>
      </c>
      <c r="I54" s="14" t="str">
        <f>IF(SHOT_DATASET!A54="","",SHOT_DATASET!I54)</f>
        <v/>
      </c>
    </row>
    <row r="55" spans="1:9" x14ac:dyDescent="0.3">
      <c r="A55" s="6" t="str">
        <f>IF(SHOT_DATASET!A55="","",SHOT_DATASET!A55)</f>
        <v/>
      </c>
      <c r="B55" s="4" t="str">
        <f>IF(SHOT_DATASET!A55="","",SHOT_DATASET!B55)</f>
        <v/>
      </c>
      <c r="C55" s="4" t="str">
        <f>IF(SHOT_DATASET!A55="","",SHOT_DATASET!C55)</f>
        <v/>
      </c>
      <c r="D55" s="4" t="str">
        <f>IF(SHOT_DATASET!A55="","",SHOT_DATASET!D55)</f>
        <v/>
      </c>
      <c r="E55" s="4" t="str">
        <f>IF(SHOT_DATASET!A55="","",SHOT_DATASET!E55)</f>
        <v/>
      </c>
      <c r="F55" s="4" t="str">
        <f>IF(SHOT_DATASET!A55="","",SHOT_DATASET!F55)</f>
        <v/>
      </c>
      <c r="G55" s="4" t="str">
        <f>IF(SHOT_DATASET!A55="","",SHOT_DATASET!G55)</f>
        <v/>
      </c>
      <c r="H55" s="4" t="str">
        <f>IF(SHOT_DATASET!A55="","",SHOT_DATASET!H55)</f>
        <v/>
      </c>
      <c r="I55" s="14" t="str">
        <f>IF(SHOT_DATASET!A55="","",SHOT_DATASET!I55)</f>
        <v/>
      </c>
    </row>
    <row r="56" spans="1:9" x14ac:dyDescent="0.3">
      <c r="A56" s="6" t="str">
        <f>IF(SHOT_DATASET!A56="","",SHOT_DATASET!A56)</f>
        <v/>
      </c>
      <c r="B56" s="4" t="str">
        <f>IF(SHOT_DATASET!A56="","",SHOT_DATASET!B56)</f>
        <v/>
      </c>
      <c r="C56" s="4" t="str">
        <f>IF(SHOT_DATASET!A56="","",SHOT_DATASET!C56)</f>
        <v/>
      </c>
      <c r="D56" s="4" t="str">
        <f>IF(SHOT_DATASET!A56="","",SHOT_DATASET!D56)</f>
        <v/>
      </c>
      <c r="E56" s="4" t="str">
        <f>IF(SHOT_DATASET!A56="","",SHOT_DATASET!E56)</f>
        <v/>
      </c>
      <c r="F56" s="4" t="str">
        <f>IF(SHOT_DATASET!A56="","",SHOT_DATASET!F56)</f>
        <v/>
      </c>
      <c r="G56" s="4" t="str">
        <f>IF(SHOT_DATASET!A56="","",SHOT_DATASET!G56)</f>
        <v/>
      </c>
      <c r="H56" s="4" t="str">
        <f>IF(SHOT_DATASET!A56="","",SHOT_DATASET!H56)</f>
        <v/>
      </c>
      <c r="I56" s="14" t="str">
        <f>IF(SHOT_DATASET!A56="","",SHOT_DATASET!I56)</f>
        <v/>
      </c>
    </row>
    <row r="57" spans="1:9" x14ac:dyDescent="0.3">
      <c r="A57" s="6" t="str">
        <f>IF(SHOT_DATASET!A57="","",SHOT_DATASET!A57)</f>
        <v/>
      </c>
      <c r="B57" s="4" t="str">
        <f>IF(SHOT_DATASET!A57="","",SHOT_DATASET!B57)</f>
        <v/>
      </c>
      <c r="C57" s="4" t="str">
        <f>IF(SHOT_DATASET!A57="","",SHOT_DATASET!C57)</f>
        <v/>
      </c>
      <c r="D57" s="4" t="str">
        <f>IF(SHOT_DATASET!A57="","",SHOT_DATASET!D57)</f>
        <v/>
      </c>
      <c r="E57" s="4" t="str">
        <f>IF(SHOT_DATASET!A57="","",SHOT_DATASET!E57)</f>
        <v/>
      </c>
      <c r="F57" s="4" t="str">
        <f>IF(SHOT_DATASET!A57="","",SHOT_DATASET!F57)</f>
        <v/>
      </c>
      <c r="G57" s="4" t="str">
        <f>IF(SHOT_DATASET!A57="","",SHOT_DATASET!G57)</f>
        <v/>
      </c>
      <c r="H57" s="4" t="str">
        <f>IF(SHOT_DATASET!A57="","",SHOT_DATASET!H57)</f>
        <v/>
      </c>
      <c r="I57" s="14" t="str">
        <f>IF(SHOT_DATASET!A57="","",SHOT_DATASET!I57)</f>
        <v/>
      </c>
    </row>
    <row r="58" spans="1:9" x14ac:dyDescent="0.3">
      <c r="A58" s="6" t="str">
        <f>IF(SHOT_DATASET!A58="","",SHOT_DATASET!A58)</f>
        <v/>
      </c>
      <c r="B58" s="4" t="str">
        <f>IF(SHOT_DATASET!A58="","",SHOT_DATASET!B58)</f>
        <v/>
      </c>
      <c r="C58" s="4" t="str">
        <f>IF(SHOT_DATASET!A58="","",SHOT_DATASET!C58)</f>
        <v/>
      </c>
      <c r="D58" s="4" t="str">
        <f>IF(SHOT_DATASET!A58="","",SHOT_DATASET!D58)</f>
        <v/>
      </c>
      <c r="E58" s="4" t="str">
        <f>IF(SHOT_DATASET!A58="","",SHOT_DATASET!E58)</f>
        <v/>
      </c>
      <c r="F58" s="4" t="str">
        <f>IF(SHOT_DATASET!A58="","",SHOT_DATASET!F58)</f>
        <v/>
      </c>
      <c r="G58" s="4" t="str">
        <f>IF(SHOT_DATASET!A58="","",SHOT_DATASET!G58)</f>
        <v/>
      </c>
      <c r="H58" s="4" t="str">
        <f>IF(SHOT_DATASET!A58="","",SHOT_DATASET!H58)</f>
        <v/>
      </c>
      <c r="I58" s="14" t="str">
        <f>IF(SHOT_DATASET!A58="","",SHOT_DATASET!I58)</f>
        <v/>
      </c>
    </row>
    <row r="59" spans="1:9" x14ac:dyDescent="0.3">
      <c r="A59" s="6" t="str">
        <f>IF(SHOT_DATASET!A59="","",SHOT_DATASET!A59)</f>
        <v/>
      </c>
      <c r="B59" s="4" t="str">
        <f>IF(SHOT_DATASET!A59="","",SHOT_DATASET!B59)</f>
        <v/>
      </c>
      <c r="C59" s="4" t="str">
        <f>IF(SHOT_DATASET!A59="","",SHOT_DATASET!C59)</f>
        <v/>
      </c>
      <c r="D59" s="4" t="str">
        <f>IF(SHOT_DATASET!A59="","",SHOT_DATASET!D59)</f>
        <v/>
      </c>
      <c r="E59" s="4" t="str">
        <f>IF(SHOT_DATASET!A59="","",SHOT_DATASET!E59)</f>
        <v/>
      </c>
      <c r="F59" s="4" t="str">
        <f>IF(SHOT_DATASET!A59="","",SHOT_DATASET!F59)</f>
        <v/>
      </c>
      <c r="G59" s="4" t="str">
        <f>IF(SHOT_DATASET!A59="","",SHOT_DATASET!G59)</f>
        <v/>
      </c>
      <c r="H59" s="4" t="str">
        <f>IF(SHOT_DATASET!A59="","",SHOT_DATASET!H59)</f>
        <v/>
      </c>
      <c r="I59" s="14" t="str">
        <f>IF(SHOT_DATASET!A59="","",SHOT_DATASET!I59)</f>
        <v/>
      </c>
    </row>
    <row r="60" spans="1:9" x14ac:dyDescent="0.3">
      <c r="A60" s="6" t="str">
        <f>IF(SHOT_DATASET!A60="","",SHOT_DATASET!A60)</f>
        <v/>
      </c>
      <c r="B60" s="4" t="str">
        <f>IF(SHOT_DATASET!A60="","",SHOT_DATASET!B60)</f>
        <v/>
      </c>
      <c r="C60" s="4" t="str">
        <f>IF(SHOT_DATASET!A60="","",SHOT_DATASET!C60)</f>
        <v/>
      </c>
      <c r="D60" s="4" t="str">
        <f>IF(SHOT_DATASET!A60="","",SHOT_DATASET!D60)</f>
        <v/>
      </c>
      <c r="E60" s="4" t="str">
        <f>IF(SHOT_DATASET!A60="","",SHOT_DATASET!E60)</f>
        <v/>
      </c>
      <c r="F60" s="4" t="str">
        <f>IF(SHOT_DATASET!A60="","",SHOT_DATASET!F60)</f>
        <v/>
      </c>
      <c r="G60" s="4" t="str">
        <f>IF(SHOT_DATASET!A60="","",SHOT_DATASET!G60)</f>
        <v/>
      </c>
      <c r="H60" s="4" t="str">
        <f>IF(SHOT_DATASET!A60="","",SHOT_DATASET!H60)</f>
        <v/>
      </c>
      <c r="I60" s="14" t="str">
        <f>IF(SHOT_DATASET!A60="","",SHOT_DATASET!I60)</f>
        <v/>
      </c>
    </row>
    <row r="61" spans="1:9" x14ac:dyDescent="0.3">
      <c r="A61" s="6" t="str">
        <f>IF(SHOT_DATASET!A61="","",SHOT_DATASET!A61)</f>
        <v/>
      </c>
      <c r="B61" s="4" t="str">
        <f>IF(SHOT_DATASET!A61="","",SHOT_DATASET!B61)</f>
        <v/>
      </c>
      <c r="C61" s="4" t="str">
        <f>IF(SHOT_DATASET!A61="","",SHOT_DATASET!C61)</f>
        <v/>
      </c>
      <c r="D61" s="4" t="str">
        <f>IF(SHOT_DATASET!A61="","",SHOT_DATASET!D61)</f>
        <v/>
      </c>
      <c r="E61" s="4" t="str">
        <f>IF(SHOT_DATASET!A61="","",SHOT_DATASET!E61)</f>
        <v/>
      </c>
      <c r="F61" s="4" t="str">
        <f>IF(SHOT_DATASET!A61="","",SHOT_DATASET!F61)</f>
        <v/>
      </c>
      <c r="G61" s="4" t="str">
        <f>IF(SHOT_DATASET!A61="","",SHOT_DATASET!G61)</f>
        <v/>
      </c>
      <c r="H61" s="4" t="str">
        <f>IF(SHOT_DATASET!A61="","",SHOT_DATASET!H61)</f>
        <v/>
      </c>
      <c r="I61" s="14" t="str">
        <f>IF(SHOT_DATASET!A61="","",SHOT_DATASET!I61)</f>
        <v/>
      </c>
    </row>
    <row r="62" spans="1:9" x14ac:dyDescent="0.3">
      <c r="A62" s="6" t="str">
        <f>IF(SHOT_DATASET!A62="","",SHOT_DATASET!A62)</f>
        <v/>
      </c>
      <c r="B62" s="4" t="str">
        <f>IF(SHOT_DATASET!A62="","",SHOT_DATASET!B62)</f>
        <v/>
      </c>
      <c r="C62" s="4" t="str">
        <f>IF(SHOT_DATASET!A62="","",SHOT_DATASET!C62)</f>
        <v/>
      </c>
      <c r="D62" s="4" t="str">
        <f>IF(SHOT_DATASET!A62="","",SHOT_DATASET!D62)</f>
        <v/>
      </c>
      <c r="E62" s="4" t="str">
        <f>IF(SHOT_DATASET!A62="","",SHOT_DATASET!E62)</f>
        <v/>
      </c>
      <c r="F62" s="4" t="str">
        <f>IF(SHOT_DATASET!A62="","",SHOT_DATASET!F62)</f>
        <v/>
      </c>
      <c r="G62" s="4" t="str">
        <f>IF(SHOT_DATASET!A62="","",SHOT_DATASET!G62)</f>
        <v/>
      </c>
      <c r="H62" s="4" t="str">
        <f>IF(SHOT_DATASET!A62="","",SHOT_DATASET!H62)</f>
        <v/>
      </c>
      <c r="I62" s="14" t="str">
        <f>IF(SHOT_DATASET!A62="","",SHOT_DATASET!I62)</f>
        <v/>
      </c>
    </row>
    <row r="63" spans="1:9" x14ac:dyDescent="0.3">
      <c r="A63" s="6" t="str">
        <f>IF(SHOT_DATASET!A63="","",SHOT_DATASET!A63)</f>
        <v/>
      </c>
      <c r="B63" s="4" t="str">
        <f>IF(SHOT_DATASET!A63="","",SHOT_DATASET!B63)</f>
        <v/>
      </c>
      <c r="C63" s="4" t="str">
        <f>IF(SHOT_DATASET!A63="","",SHOT_DATASET!C63)</f>
        <v/>
      </c>
      <c r="D63" s="4" t="str">
        <f>IF(SHOT_DATASET!A63="","",SHOT_DATASET!D63)</f>
        <v/>
      </c>
      <c r="E63" s="4" t="str">
        <f>IF(SHOT_DATASET!A63="","",SHOT_DATASET!E63)</f>
        <v/>
      </c>
      <c r="F63" s="4" t="str">
        <f>IF(SHOT_DATASET!A63="","",SHOT_DATASET!F63)</f>
        <v/>
      </c>
      <c r="G63" s="4" t="str">
        <f>IF(SHOT_DATASET!A63="","",SHOT_DATASET!G63)</f>
        <v/>
      </c>
      <c r="H63" s="4" t="str">
        <f>IF(SHOT_DATASET!A63="","",SHOT_DATASET!H63)</f>
        <v/>
      </c>
      <c r="I63" s="14" t="str">
        <f>IF(SHOT_DATASET!A63="","",SHOT_DATASET!I63)</f>
        <v/>
      </c>
    </row>
    <row r="64" spans="1:9" x14ac:dyDescent="0.3">
      <c r="A64" s="11" t="str">
        <f>IF(SHOT_DATASET!A64="","",SHOT_DATASET!A64)</f>
        <v/>
      </c>
      <c r="B64" s="15" t="str">
        <f>IF(SHOT_DATASET!A64="","",SHOT_DATASET!B64)</f>
        <v/>
      </c>
      <c r="C64" s="15" t="str">
        <f>IF(SHOT_DATASET!A64="","",SHOT_DATASET!C64)</f>
        <v/>
      </c>
      <c r="D64" s="15" t="str">
        <f>IF(SHOT_DATASET!A64="","",SHOT_DATASET!D64)</f>
        <v/>
      </c>
      <c r="E64" s="15" t="str">
        <f>IF(SHOT_DATASET!A64="","",SHOT_DATASET!E64)</f>
        <v/>
      </c>
      <c r="F64" s="15" t="str">
        <f>IF(SHOT_DATASET!A64="","",SHOT_DATASET!F64)</f>
        <v/>
      </c>
      <c r="G64" s="15" t="str">
        <f>IF(SHOT_DATASET!A64="","",SHOT_DATASET!G64)</f>
        <v/>
      </c>
      <c r="H64" s="15" t="str">
        <f>IF(SHOT_DATASET!A64="","",SHOT_DATASET!H64)</f>
        <v/>
      </c>
      <c r="I64" s="16" t="str">
        <f>IF(SHOT_DATASET!A64="","",SHOT_DATASET!I64)</f>
        <v/>
      </c>
    </row>
  </sheetData>
  <mergeCells count="2">
    <mergeCell ref="A1:I1"/>
    <mergeCell ref="A2:I2"/>
  </mergeCells>
  <pageMargins left="0.25" right="0.25" top="0.35" bottom="0.35" header="0.3" footer="0.3"/>
  <pageSetup orientation="landscape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B819B-42D5-4AC2-AE4A-5B9BB97B93CB}">
  <dimension ref="A1:J11"/>
  <sheetViews>
    <sheetView showGridLines="0" workbookViewId="0">
      <selection sqref="A1:J1"/>
    </sheetView>
  </sheetViews>
  <sheetFormatPr baseColWidth="10" defaultRowHeight="14.4" x14ac:dyDescent="0.3"/>
  <cols>
    <col min="1" max="1" width="24.77734375" customWidth="1"/>
    <col min="2" max="2" width="18.77734375" customWidth="1"/>
    <col min="3" max="3" width="48.77734375" customWidth="1"/>
    <col min="5" max="6" width="22.77734375" customWidth="1"/>
    <col min="7" max="7" width="38.77734375" customWidth="1"/>
  </cols>
  <sheetData>
    <row r="1" spans="1:10" ht="30" customHeight="1" x14ac:dyDescent="0.3">
      <c r="A1" s="19" t="s">
        <v>438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36" customHeight="1" x14ac:dyDescent="0.3">
      <c r="A2" s="20" t="s">
        <v>439</v>
      </c>
      <c r="B2" s="20"/>
      <c r="C2" s="20"/>
      <c r="D2" s="20"/>
      <c r="E2" s="20"/>
      <c r="F2" s="20"/>
      <c r="G2" s="20"/>
      <c r="H2" s="20"/>
      <c r="I2" s="20"/>
      <c r="J2" s="20"/>
    </row>
    <row r="4" spans="1:10" ht="31.95" customHeight="1" x14ac:dyDescent="0.3">
      <c r="A4" s="1" t="s">
        <v>440</v>
      </c>
      <c r="B4" s="1" t="s">
        <v>140</v>
      </c>
      <c r="C4" s="1" t="s">
        <v>441</v>
      </c>
      <c r="E4" s="1" t="s">
        <v>452</v>
      </c>
      <c r="F4" s="1" t="s">
        <v>108</v>
      </c>
      <c r="G4" s="1" t="s">
        <v>453</v>
      </c>
    </row>
    <row r="5" spans="1:10" x14ac:dyDescent="0.3">
      <c r="A5" s="4" t="s">
        <v>442</v>
      </c>
      <c r="B5" s="4" t="str">
        <f>IF(COUNTIF(MP03_01_Config!F5:F18,"PASS")=0,"NOT_RUN",IF(COUNTIF(MP03_01_Config!F5:F18,"FAIL")+COUNTIF(MP03_01_Config!F5:F18,"ABORTED")&gt;0,"FAIL",IF(COUNTIF(MP03_01_Config!F5:F18,"PASS")=14,"PASS","BLOCKED")))</f>
        <v>NOT_RUN</v>
      </c>
      <c r="C5" s="4" t="s">
        <v>443</v>
      </c>
      <c r="E5" s="4" t="s">
        <v>454</v>
      </c>
      <c r="F5" s="4">
        <f>COUNTIF(SHOT_DATASET!A5:A64,"&lt;&gt;")</f>
        <v>0</v>
      </c>
      <c r="G5" s="4" t="s">
        <v>455</v>
      </c>
    </row>
    <row r="6" spans="1:10" x14ac:dyDescent="0.3">
      <c r="A6" s="4" t="s">
        <v>444</v>
      </c>
      <c r="B6" s="4" t="str">
        <f>IF(COUNTIF(MP03_02_Lifecycle!M5:M9,"PASS")=0,"NOT_RUN",IF(COUNTIF(MP03_02_Lifecycle!M5:M9,"FAIL")+COUNTIF(MP03_02_Lifecycle!M5:M9,"ABORTED")&gt;0,"FAIL",IF(COUNTIF(MP03_02_Lifecycle!M5:M9,"PASS")=5,"PASS","BLOCKED")))</f>
        <v>NOT_RUN</v>
      </c>
      <c r="C6" s="4" t="s">
        <v>445</v>
      </c>
      <c r="E6" s="4" t="s">
        <v>456</v>
      </c>
      <c r="F6" s="4">
        <f>COUNTIF(SHOT_DATASET!V5:V64,"PASS")</f>
        <v>0</v>
      </c>
      <c r="G6" s="4" t="s">
        <v>457</v>
      </c>
    </row>
    <row r="7" spans="1:10" x14ac:dyDescent="0.3">
      <c r="A7" s="4" t="s">
        <v>446</v>
      </c>
      <c r="B7" s="4" t="str">
        <f>IF(COUNTA(MP03_03_Tags!C5:C44)=0,"NOT_RUN",IF(AND(COUNTIFS(MP03_03_Tags!C5:C44,20,MP03_03_Tags!E5:E44,"YES",MP03_03_Tags!I5:I44,"&lt;="&amp;CONFIG!B5,MP03_03_Tags!N5:N44,"YES",MP03_03_Tags!S5:S44,"YES",MP03_03_Tags!T5:T44,"VALID")&gt;0,COUNTIFS(MP03_03_Tags!C5:C44,24,MP03_03_Tags!E5:E44,"YES",MP03_03_Tags!I5:I44,"&lt;="&amp;CONFIG!B5,MP03_03_Tags!N5:N44,"YES",MP03_03_Tags!S5:S44,"YES",MP03_03_Tags!T5:T44,"VALID")&gt;0),"PASS","BLOCKED"))</f>
        <v>NOT_RUN</v>
      </c>
      <c r="C7" s="4" t="s">
        <v>447</v>
      </c>
      <c r="E7" s="4" t="s">
        <v>458</v>
      </c>
      <c r="F7" s="4">
        <f>COUNTIF(SHOT_DATASET!I5:I64,"SCORED")</f>
        <v>0</v>
      </c>
      <c r="G7" s="4" t="s">
        <v>459</v>
      </c>
    </row>
    <row r="8" spans="1:10" x14ac:dyDescent="0.3">
      <c r="A8" s="4" t="s">
        <v>448</v>
      </c>
      <c r="B8" s="4" t="str">
        <f>IF(COUNTIF(MP03_04_Faults!J5:J12,"PASS")=0,"NOT_RUN",IF(COUNTIF(MP03_04_Faults!J5:J12,"FAIL")+COUNTIF(MP03_04_Faults!J5:J12,"ABORTED")&gt;0,"FAIL",IF(COUNTIF(MP03_04_Faults!J5:J12,"PASS")=8,"PASS","BLOCKED")))</f>
        <v>NOT_RUN</v>
      </c>
      <c r="C8" s="4" t="s">
        <v>449</v>
      </c>
      <c r="E8" s="4" t="s">
        <v>460</v>
      </c>
      <c r="F8" s="4" t="s">
        <v>461</v>
      </c>
      <c r="G8" s="4" t="s">
        <v>462</v>
      </c>
    </row>
    <row r="9" spans="1:10" x14ac:dyDescent="0.3">
      <c r="A9" s="4" t="s">
        <v>450</v>
      </c>
      <c r="B9" s="4" t="str">
        <f>IF(COUNTIF(B5:B8,"PASS")=0,"NOT_RUN",IF(COUNTIF(B5:B8,"FAIL")&gt;0,"FAIL",IF(COUNTIF(B5:B8,"PASS")=4,"PASS","BLOCKED")))</f>
        <v>NOT_RUN</v>
      </c>
      <c r="C9" s="4" t="s">
        <v>451</v>
      </c>
    </row>
    <row r="11" spans="1:10" x14ac:dyDescent="0.3">
      <c r="A11" s="23" t="s">
        <v>463</v>
      </c>
      <c r="B11" s="23"/>
      <c r="C11" s="23"/>
      <c r="D11" s="23"/>
      <c r="E11" s="23"/>
      <c r="F11" s="23"/>
      <c r="G11" s="23"/>
      <c r="H11" s="23"/>
      <c r="I11" s="23"/>
      <c r="J11" s="23"/>
    </row>
  </sheetData>
  <mergeCells count="3">
    <mergeCell ref="A1:J1"/>
    <mergeCell ref="A2:J2"/>
    <mergeCell ref="A11:J11"/>
  </mergeCells>
  <conditionalFormatting sqref="B5:B9">
    <cfRule type="cellIs" dxfId="3" priority="1" stopIfTrue="1" operator="equal">
      <formula>"PASS"</formula>
    </cfRule>
    <cfRule type="cellIs" dxfId="2" priority="2" stopIfTrue="1" operator="equal">
      <formula>"FAIL"</formula>
    </cfRule>
    <cfRule type="cellIs" dxfId="1" priority="3" stopIfTrue="1" operator="equal">
      <formula>"BLOCKED"</formula>
    </cfRule>
    <cfRule type="cellIs" dxfId="0" priority="4" stopIfTrue="1" operator="equal">
      <formula>"ABORTED"</formula>
    </cfRule>
  </conditionalFormatting>
  <dataValidations count="1">
    <dataValidation type="list" allowBlank="1" showInputMessage="1" showErrorMessage="1" sqref="B5:B9" xr:uid="{BAF24573-3081-4BCF-824D-61975D37EC2A}">
      <formula1>"""NOT_RUN,IN_PROGRESS,PASS,FAIL,BLOCKED,ABORTED,INVALID_DATA,NOT_APPLICABLE"""</formula1>
    </dataValidation>
  </dataValidations>
  <pageMargins left="0.25" right="0.25" top="0.35" bottom="0.35" header="0.3" footer="0.3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57448-F6B2-438E-AF34-46AC97CD8BCE}">
  <dimension ref="A1:H15"/>
  <sheetViews>
    <sheetView showGridLines="0" tabSelected="1" workbookViewId="0">
      <selection sqref="A1:H1"/>
    </sheetView>
  </sheetViews>
  <sheetFormatPr baseColWidth="10" defaultRowHeight="14.4" x14ac:dyDescent="0.3"/>
  <cols>
    <col min="1" max="1" width="14.77734375" customWidth="1"/>
    <col min="2" max="2" width="16.77734375" customWidth="1"/>
    <col min="3" max="3" width="54.77734375" customWidth="1"/>
    <col min="4" max="4" width="22.77734375" customWidth="1"/>
    <col min="5" max="5" width="34.77734375" customWidth="1"/>
  </cols>
  <sheetData>
    <row r="1" spans="1:8" ht="30" customHeight="1" x14ac:dyDescent="0.3">
      <c r="A1" s="19" t="s">
        <v>464</v>
      </c>
      <c r="B1" s="19"/>
      <c r="C1" s="19"/>
      <c r="D1" s="19"/>
      <c r="E1" s="19"/>
      <c r="F1" s="19"/>
      <c r="G1" s="19"/>
      <c r="H1" s="19"/>
    </row>
    <row r="2" spans="1:8" ht="36" customHeight="1" x14ac:dyDescent="0.3">
      <c r="A2" s="20" t="s">
        <v>465</v>
      </c>
      <c r="B2" s="20"/>
      <c r="C2" s="20"/>
      <c r="D2" s="20"/>
      <c r="E2" s="20"/>
      <c r="F2" s="20"/>
      <c r="G2" s="20"/>
      <c r="H2" s="20"/>
    </row>
    <row r="4" spans="1:8" ht="31.95" customHeight="1" x14ac:dyDescent="0.3">
      <c r="A4" s="7" t="s">
        <v>466</v>
      </c>
      <c r="B4" s="8" t="s">
        <v>467</v>
      </c>
      <c r="C4" s="8" t="s">
        <v>468</v>
      </c>
      <c r="D4" s="8" t="s">
        <v>140</v>
      </c>
      <c r="E4" s="10" t="s">
        <v>469</v>
      </c>
    </row>
    <row r="5" spans="1:8" x14ac:dyDescent="0.3">
      <c r="A5" s="6" t="s">
        <v>470</v>
      </c>
      <c r="B5" s="4" t="s">
        <v>471</v>
      </c>
      <c r="C5" s="4" t="s">
        <v>472</v>
      </c>
      <c r="D5" s="4" t="s">
        <v>143</v>
      </c>
      <c r="E5" s="14" t="s">
        <v>473</v>
      </c>
    </row>
    <row r="6" spans="1:8" x14ac:dyDescent="0.3">
      <c r="A6" s="6" t="s">
        <v>474</v>
      </c>
      <c r="B6" s="4" t="s">
        <v>471</v>
      </c>
      <c r="C6" s="4" t="s">
        <v>475</v>
      </c>
      <c r="D6" s="4" t="s">
        <v>143</v>
      </c>
      <c r="E6" s="14" t="s">
        <v>476</v>
      </c>
    </row>
    <row r="7" spans="1:8" x14ac:dyDescent="0.3">
      <c r="A7" s="6" t="s">
        <v>477</v>
      </c>
      <c r="B7" s="4" t="s">
        <v>471</v>
      </c>
      <c r="C7" s="4" t="s">
        <v>478</v>
      </c>
      <c r="D7" s="4" t="s">
        <v>143</v>
      </c>
      <c r="E7" s="14" t="s">
        <v>479</v>
      </c>
    </row>
    <row r="8" spans="1:8" x14ac:dyDescent="0.3">
      <c r="A8" s="6" t="s">
        <v>480</v>
      </c>
      <c r="B8" s="4" t="s">
        <v>481</v>
      </c>
      <c r="C8" s="4" t="s">
        <v>482</v>
      </c>
      <c r="D8" s="4" t="s">
        <v>143</v>
      </c>
      <c r="E8" s="14" t="s">
        <v>483</v>
      </c>
    </row>
    <row r="9" spans="1:8" x14ac:dyDescent="0.3">
      <c r="A9" s="6" t="s">
        <v>484</v>
      </c>
      <c r="B9" s="4" t="s">
        <v>481</v>
      </c>
      <c r="C9" s="4" t="s">
        <v>485</v>
      </c>
      <c r="D9" s="4" t="s">
        <v>143</v>
      </c>
      <c r="E9" s="14" t="s">
        <v>483</v>
      </c>
    </row>
    <row r="10" spans="1:8" x14ac:dyDescent="0.3">
      <c r="A10" s="6" t="s">
        <v>486</v>
      </c>
      <c r="B10" s="4" t="s">
        <v>481</v>
      </c>
      <c r="C10" s="4" t="s">
        <v>487</v>
      </c>
      <c r="D10" s="4" t="s">
        <v>143</v>
      </c>
      <c r="E10" s="14" t="s">
        <v>488</v>
      </c>
    </row>
    <row r="11" spans="1:8" x14ac:dyDescent="0.3">
      <c r="A11" s="6" t="s">
        <v>489</v>
      </c>
      <c r="B11" s="4" t="s">
        <v>490</v>
      </c>
      <c r="C11" s="4" t="s">
        <v>491</v>
      </c>
      <c r="D11" s="4" t="s">
        <v>143</v>
      </c>
      <c r="E11" s="14" t="s">
        <v>492</v>
      </c>
    </row>
    <row r="12" spans="1:8" x14ac:dyDescent="0.3">
      <c r="A12" s="6" t="s">
        <v>493</v>
      </c>
      <c r="B12" s="4" t="s">
        <v>494</v>
      </c>
      <c r="C12" s="4" t="s">
        <v>495</v>
      </c>
      <c r="D12" s="4" t="s">
        <v>143</v>
      </c>
      <c r="E12" s="14" t="s">
        <v>496</v>
      </c>
    </row>
    <row r="13" spans="1:8" x14ac:dyDescent="0.3">
      <c r="A13" s="6" t="s">
        <v>497</v>
      </c>
      <c r="B13" s="4" t="s">
        <v>498</v>
      </c>
      <c r="C13" s="4" t="s">
        <v>499</v>
      </c>
      <c r="D13" s="4" t="s">
        <v>143</v>
      </c>
      <c r="E13" s="14" t="s">
        <v>500</v>
      </c>
    </row>
    <row r="14" spans="1:8" x14ac:dyDescent="0.3">
      <c r="A14" s="6" t="s">
        <v>501</v>
      </c>
      <c r="B14" s="4" t="s">
        <v>498</v>
      </c>
      <c r="C14" s="4" t="s">
        <v>502</v>
      </c>
      <c r="D14" s="4" t="s">
        <v>143</v>
      </c>
      <c r="E14" s="14" t="s">
        <v>503</v>
      </c>
    </row>
    <row r="15" spans="1:8" x14ac:dyDescent="0.3">
      <c r="A15" s="11" t="s">
        <v>504</v>
      </c>
      <c r="B15" s="15" t="s">
        <v>505</v>
      </c>
      <c r="C15" s="15" t="s">
        <v>506</v>
      </c>
      <c r="D15" s="15" t="s">
        <v>143</v>
      </c>
      <c r="E15" s="16" t="s">
        <v>507</v>
      </c>
    </row>
  </sheetData>
  <mergeCells count="2">
    <mergeCell ref="A1:H1"/>
    <mergeCell ref="A2:H2"/>
  </mergeCells>
  <pageMargins left="0.25" right="0.25" top="0.35" bottom="0.3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INSTRUCCIONES</vt:lpstr>
      <vt:lpstr>SESION</vt:lpstr>
      <vt:lpstr>CAMBIOS</vt:lpstr>
      <vt:lpstr>CONFIG</vt:lpstr>
      <vt:lpstr>CATALOGOS</vt:lpstr>
      <vt:lpstr>MP03_01_Config</vt:lpstr>
      <vt:lpstr>MP03_02_Lifecycle</vt:lpstr>
      <vt:lpstr>MP03_03_Tags</vt:lpstr>
      <vt:lpstr>MP03_04_Faults</vt:lpstr>
      <vt:lpstr>MP03_05_StaticPose</vt:lpstr>
      <vt:lpstr>SHOT_DATASET</vt:lpstr>
      <vt:lpstr>EXPORT_SHOT_DATASET</vt:lpstr>
      <vt:lpstr>DASHBOARD</vt:lpstr>
      <vt:lpstr>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Joaquín Rosales González</dc:creator>
  <cp:lastModifiedBy>Joaquín Rosales González</cp:lastModifiedBy>
  <cp:lastPrinted>2026-07-22T12:14:58Z</cp:lastPrinted>
  <dcterms:created xsi:type="dcterms:W3CDTF">2026-07-22T12:14:35Z</dcterms:created>
  <dcterms:modified xsi:type="dcterms:W3CDTF">2026-07-22T12:14:59Z</dcterms:modified>
</cp:coreProperties>
</file>