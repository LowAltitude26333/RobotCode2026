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a446aba1a45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ba98c67584784a8a"/>
    <x:sheet xmlns:r="http://schemas.openxmlformats.org/officeDocument/2006/relationships" name="SESION" sheetId="2" r:id="R01f47dc2bf764724"/>
    <x:sheet xmlns:r="http://schemas.openxmlformats.org/officeDocument/2006/relationships" name="CAMBIOS" sheetId="3" r:id="Rb26bb6e123114d5f"/>
    <x:sheet xmlns:r="http://schemas.openxmlformats.org/officeDocument/2006/relationships" name="CONFIG" sheetId="4" r:id="Rec9cb802c3d04334"/>
    <x:sheet xmlns:r="http://schemas.openxmlformats.org/officeDocument/2006/relationships" name="CATALOGOS" sheetId="5" r:id="R1ede782ceb5844cc"/>
    <x:sheet xmlns:r="http://schemas.openxmlformats.org/officeDocument/2006/relationships" name="MP03_01_Config" sheetId="6" r:id="Rfb9d32e4604c43fb"/>
    <x:sheet xmlns:r="http://schemas.openxmlformats.org/officeDocument/2006/relationships" name="MP03_02_Lifecycle" sheetId="7" r:id="R0092d2f3bd32471e"/>
    <x:sheet xmlns:r="http://schemas.openxmlformats.org/officeDocument/2006/relationships" name="MP03_03_Tags" sheetId="8" r:id="Rfa2f33d1fb0d4952"/>
    <x:sheet xmlns:r="http://schemas.openxmlformats.org/officeDocument/2006/relationships" name="MP03_04_Faults" sheetId="9" r:id="Re0a9b2241b904d5d"/>
    <x:sheet xmlns:r="http://schemas.openxmlformats.org/officeDocument/2006/relationships" name="MP03_05_StaticPose" sheetId="10" r:id="R842c574e9830449e"/>
    <x:sheet xmlns:r="http://schemas.openxmlformats.org/officeDocument/2006/relationships" name="SHOT_DATASET" sheetId="11" r:id="R90c4407847944708"/>
    <x:sheet xmlns:r="http://schemas.openxmlformats.org/officeDocument/2006/relationships" name="EXPORT_SHOT_DATASET" sheetId="12" r:id="Ra1ace118b7544685"/>
    <x:sheet xmlns:r="http://schemas.openxmlformats.org/officeDocument/2006/relationships" name="DASHBOARD" sheetId="13" r:id="R9bb212a28cbd4a97"/>
    <x:sheet xmlns:r="http://schemas.openxmlformats.org/officeDocument/2006/relationships" name="QA" sheetId="14" r:id="R52201f21a9794185"/>
  </x:sheets>
</x:workbook>
</file>

<file path=xl/sharedStrings.xml><?xml version="1.0" encoding="utf-8"?>
<x:sst xmlns:x="http://schemas.openxmlformats.org/spreadsheetml/2006/main">
  <x:si>
    <x:t xml:space="preserve">PAQUETE 01 — CIERRE MP-03</x:t>
  </x:si>
  <x:si>
    <x:t xml:space="preserve">Guía offline. No habilita pose, torreta, shooter, feeder, intake ni drivetrain.</x:t>
  </x:si>
  <x:si>
    <x:t xml:space="preserve">ORDEN OBLIGATORIO</x:t>
  </x:si>
  <x:si>
    <x:t xml:space="preserve">Confirmar área despejada, mecanismos sin piezas y Stop accesible.</x:t>
  </x:si>
  <x:si>
    <x:t xml:space="preserve">Completar SESION y MP03_01_Config antes de INIT.</x:t>
  </x:si>
  <x:si>
    <x:t xml:space="preserve">Ejecutar cinco ciclos con el mismo APK.</x:t>
  </x:si>
  <x:si>
    <x:t xml:space="preserve">Registrar tags 20/24 y pose 3D.</x:t>
  </x:si>
  <x:si>
    <x:t xml:space="preserve">Ejecutar todos los fallos sin movimiento.</x:t>
  </x:si>
  <x:si>
    <x:t xml:space="preserve">Registrar poses estáticas medidas.</x:t>
  </x:si>
  <x:si>
    <x:t xml:space="preserve">Revisar DASHBOARD; no editar fórmulas.</x:t>
  </x:si>
  <x:si>
    <x:t xml:space="preserve">Guardar con sufijo _FILLED y devolver sin borrar columnas.</x:t>
  </x:si>
  <x:si>
    <x:t xml:space="preserve">ABORTAR DE INMEDIATO</x:t>
  </x:si>
  <x:si>
    <x:t xml:space="preserve">Movimiento de cualquier actuador</x:t>
  </x:si>
  <x:si>
    <x:t xml:space="preserve">STOP/E-stop, ABORTED y evidencia.</x:t>
  </x:si>
  <x:si>
    <x:t xml:space="preserve">Humo, olor, calor, ruido o cable suelto</x:t>
  </x:si>
  <x:si>
    <x:t xml:space="preserve">Cortar energía; no reconectar.</x:t>
  </x:si>
  <x:si>
    <x:t xml:space="preserve">Excepción/reinicio inesperado</x:t>
  </x:si>
  <x:si>
    <x:t xml:space="preserve">STOP; registrar mensaje y APK SHA.</x:t>
  </x:si>
  <x:si>
    <x:t xml:space="preserve">Pipeline/map/extrínseca distinta</x:t>
  </x:si>
  <x:si>
    <x:t xml:space="preserve">Detener pose 3D y crear ConfigRevision.</x:t>
  </x:si>
  <x:si>
    <x:t xml:space="preserve">SHOT_DATASET — preparado para sesiones futuras; MP-03 no autoriza tiros.</x:t>
  </x:si>
  <x:si>
    <x:t xml:space="preserve">IDENTIDAD DE SESIÓN</x:t>
  </x:si>
  <x:si>
    <x:t xml:space="preserve">Completar antes de abrir el OpMode. Amarillo = entrada.</x:t>
  </x:si>
  <x:si>
    <x:t xml:space="preserve">Campo</x:t>
  </x:si>
  <x:si>
    <x:t xml:space="preserve">Valor</x:t>
  </x:si>
  <x:si>
    <x:t xml:space="preserve">Guía</x:t>
  </x:si>
  <x:si>
    <x:t xml:space="preserve">Obligatorio</x:t>
  </x:si>
  <x:si>
    <x:t xml:space="preserve">SchemaVersion</x:t>
  </x:si>
  <x:si>
    <x:t xml:space="preserve">Fijo</x:t>
  </x:si>
  <x:si>
    <x:t xml:space="preserve">TemplateVersion</x:t>
  </x:si>
  <x:si>
    <x:t xml:space="preserve">PacketId</x:t>
  </x:si>
  <x:si>
    <x:t xml:space="preserve">01-cierre-mp03</x:t>
  </x:si>
  <x:si>
    <x:t xml:space="preserve">PacketVersion</x:t>
  </x:si>
  <x:si>
    <x:t xml:space="preserve">SessionId</x:t>
  </x:si>
  <x:si>
    <x:t xml:space="preserve">Ej. MP03-20260722-A</x:t>
  </x:si>
  <x:si>
    <x:t xml:space="preserve">REQUIRED</x:t>
  </x:si>
  <x:si>
    <x:t xml:space="preserve">Fecha local</x:t>
  </x:si>
  <x:si>
    <x:t xml:space="preserve">YYYY-MM-DD</x:t>
  </x:si>
  <x:si>
    <x:t xml:space="preserve">Hora inicio</x:t>
  </x:si>
  <x:si>
    <x:t xml:space="preserve">HH:MM</x:t>
  </x:si>
  <x:si>
    <x:t xml:space="preserve">Ubicación</x:t>
  </x:si>
  <x:si>
    <x:t xml:space="preserve">Operador</x:t>
  </x:si>
  <x:si>
    <x:t xml:space="preserve">Test lead</x:t>
  </x:si>
  <x:si>
    <x:t xml:space="preserve">Safety observer</x:t>
  </x:si>
  <x:si>
    <x:t xml:space="preserve">Data recorder</x:t>
  </x:si>
  <x:si>
    <x:t xml:space="preserve">Git commit</x:t>
  </x:si>
  <x:si>
    <x:t xml:space="preserve">SHA inequívoco</x:t>
  </x:si>
  <x:si>
    <x:t xml:space="preserve">APK SHA-256</x:t>
  </x:si>
  <x:si>
    <x:t xml:space="preserve">64 hex</x:t>
  </x:si>
  <x:si>
    <x:t xml:space="preserve">ConfigRevision</x:t>
  </x:si>
  <x:si>
    <x:t xml:space="preserve">Incrementar tras cambio material</x:t>
  </x:si>
  <x:si>
    <x:t xml:space="preserve">Robot config</x:t>
  </x:si>
  <x:si>
    <x:t xml:space="preserve">Nombre/revisión RC</x:t>
  </x:si>
  <x:si>
    <x:t xml:space="preserve">Batería ID</x:t>
  </x:si>
  <x:si>
    <x:t xml:space="preserve">Voltaje inicial (V)</x:t>
  </x:si>
  <x:si>
    <x:t xml:space="preserve">Número</x:t>
  </x:si>
  <x:si>
    <x:t xml:space="preserve">Pipeline SHA-256</x:t>
  </x:si>
  <x:si>
    <x:t xml:space="preserve">Actualizar si cambia</x:t>
  </x:si>
  <x:si>
    <x:t xml:space="preserve">Field map SHA-256</x:t>
  </x:si>
  <x:si>
    <x:t xml:space="preserve">Pendiente</x:t>
  </x:si>
  <x:si>
    <x:t xml:space="preserve">Condición de luz</x:t>
  </x:si>
  <x:si>
    <x:t xml:space="preserve">Notas</x:t>
  </x:si>
  <x:si>
    <x:t xml:space="preserve">REGISTRO DE CAMBIOS</x:t>
  </x:si>
  <x:si>
    <x:t xml:space="preserve">No mezclar intentos de distintas ConfigRevision.</x:t>
  </x:si>
  <x:si>
    <x:t xml:space="preserve">ChangeId</x:t>
  </x:si>
  <x:si>
    <x:t xml:space="preserve">TimestampLocal</x:t>
  </x:si>
  <x:si>
    <x:t xml:space="preserve">FromRevision</x:t>
  </x:si>
  <x:si>
    <x:t xml:space="preserve">ToRevision</x:t>
  </x:si>
  <x:si>
    <x:t xml:space="preserve">Category</x:t>
  </x:si>
  <x:si>
    <x:t xml:space="preserve">Before</x:t>
  </x:si>
  <x:si>
    <x:t xml:space="preserve">After</x:t>
  </x:si>
  <x:si>
    <x:t xml:space="preserve">AppliesFromAttemptId</x:t>
  </x:si>
  <x:si>
    <x:t xml:space="preserve">Reason</x:t>
  </x:si>
  <x:si>
    <x:t xml:space="preserve">CHG-11</x:t>
  </x:si>
  <x:si>
    <x:t xml:space="preserve">CHG-12</x:t>
  </x:si>
  <x:si>
    <x:t xml:space="preserve">CHG-13</x:t>
  </x:si>
  <x:si>
    <x:t xml:space="preserve">CHG-14</x:t>
  </x:si>
  <x:si>
    <x:t xml:space="preserve">CHG-15</x:t>
  </x:si>
  <x:si>
    <x:t xml:space="preserve">CHG-16</x:t>
  </x:si>
  <x:si>
    <x:t xml:space="preserve">CHG-17</x:t>
  </x:si>
  <x:si>
    <x:t xml:space="preserve">CHG-18</x:t>
  </x:si>
  <x:si>
    <x:t xml:space="preserve">CHG-19</x:t>
  </x:si>
  <x:si>
    <x:t xml:space="preserve">CHG-20</x:t>
  </x:si>
  <x:si>
    <x:t xml:space="preserve">CHG-21</x:t>
  </x:si>
  <x:si>
    <x:t xml:space="preserve">CHG-22</x:t>
  </x:si>
  <x:si>
    <x:t xml:space="preserve">CHG-23</x:t>
  </x:si>
  <x:si>
    <x:t xml:space="preserve">CHG-24</x:t>
  </x:si>
  <x:si>
    <x:t xml:space="preserve">CHG-25</x:t>
  </x:si>
  <x:si>
    <x:t xml:space="preserve">CHG-26</x:t>
  </x:si>
  <x:si>
    <x:t xml:space="preserve">CHG-27</x:t>
  </x:si>
  <x:si>
    <x:t xml:space="preserve">CHG-28</x:t>
  </x:si>
  <x:si>
    <x:t xml:space="preserve">CHG-29</x:t>
  </x:si>
  <x:si>
    <x:t xml:space="preserve">CHG-30</x:t>
  </x:si>
  <x:si>
    <x:t xml:space="preserve">CONSTANTES DEL PAQUETE</x:t>
  </x:si>
  <x:si>
    <x:t xml:space="preserve">Editar sólo mediante TemplateVersion o ConfigRevision documentada.</x:t>
  </x:si>
  <x:si>
    <x:t xml:space="preserve">Key</x:t>
  </x:si>
  <x:si>
    <x:t xml:space="preserve">Value</x:t>
  </x:si>
  <x:si>
    <x:t xml:space="preserve">Unit</x:t>
  </x:si>
  <x:si>
    <x:t xml:space="preserve">Source</x:t>
  </x:si>
  <x:si>
    <x:t xml:space="preserve">Purpose</x:t>
  </x:si>
  <x:si>
    <x:t xml:space="preserve">LIMELIGHT_MAX_STALENESS_MS</x:t>
  </x:si>
  <x:si>
    <x:t xml:space="preserve">ms</x:t>
  </x:si>
  <x:si>
    <x:t xml:space="preserve">LowAltitudeConstants.VisionConstants</x:t>
  </x:si>
  <x:si>
    <x:t xml:space="preserve">Gate visual</x:t>
  </x:si>
  <x:si>
    <x:t xml:space="preserve">EXPECTED_PIPELINE</x:t>
  </x:si>
  <x:si>
    <x:t xml:space="preserve">index</x:t>
  </x:si>
  <x:si>
    <x:t xml:space="preserve">Pipeline AprilTag</x:t>
  </x:si>
  <x:si>
    <x:t xml:space="preserve">BLUE_GOAL_TAG_ID</x:t>
  </x:si>
  <x:si>
    <x:t xml:space="preserve">id</x:t>
  </x:si>
  <x:si>
    <x:t xml:space="preserve">LowAltitudeConstants.TurretConstants</x:t>
  </x:si>
  <x:si>
    <x:t xml:space="preserve">Goal azul</x:t>
  </x:si>
  <x:si>
    <x:t xml:space="preserve">RED_GOAL_TAG_ID</x:t>
  </x:si>
  <x:si>
    <x:t xml:space="preserve">Goal rojo</x:t>
  </x:si>
  <x:si>
    <x:t xml:space="preserve">MARKER_BLACK_SIZE_MM</x:t>
  </x:si>
  <x:si>
    <x:t xml:space="preserve">mm</x:t>
  </x:si>
  <x:si>
    <x:t xml:space="preserve">mp03-limelight-commissioning.md</x:t>
  </x:si>
  <x:si>
    <x:t xml:space="preserve">Cuadrado negro oficial</x:t>
  </x:si>
  <x:si>
    <x:t xml:space="preserve">EXPECTED_LIFECYCLE_CYCLES</x:t>
  </x:si>
  <x:si>
    <x:t xml:space="preserve">count</x:t>
  </x:si>
  <x:si>
    <x:t xml:space="preserve">Gate MP-03</x:t>
  </x:si>
  <x:si>
    <x:t xml:space="preserve">Mismo APK</x:t>
  </x:si>
  <x:si>
    <x:t xml:space="preserve">SHOOTER_READY_ERROR_RPM</x:t>
  </x:si>
  <x:si>
    <x:t xml:space="preserve">RPM</x:t>
  </x:si>
  <x:si>
    <x:t xml:space="preserve">T8.1</x:t>
  </x:si>
  <x:si>
    <x:t xml:space="preserve">Dataset futuro</x:t>
  </x:si>
  <x:si>
    <x:t xml:space="preserve">SHOOTER_READY_DWELL_MS</x:t>
  </x:si>
  <x:si>
    <x:t xml:space="preserve">CATÁLOGOS</x:t>
  </x:si>
  <x:si>
    <x:t xml:space="preserve">Valores válidos para dropdowns y exports.</x:t>
  </x:si>
  <x:si>
    <x:t xml:space="preserve">Status</x:t>
  </x:si>
  <x:si>
    <x:t xml:space="preserve">YesNo</x:t>
  </x:si>
  <x:si>
    <x:t xml:space="preserve">Quality</x:t>
  </x:si>
  <x:si>
    <x:t xml:space="preserve">ModelKind</x:t>
  </x:si>
  <x:si>
    <x:t xml:space="preserve">Role</x:t>
  </x:si>
  <x:si>
    <x:t xml:space="preserve">Outcome</x:t>
  </x:si>
  <x:si>
    <x:t xml:space="preserve">NOT_RUN</x:t>
  </x:si>
  <x:si>
    <x:t xml:space="preserve">YES</x:t>
  </x:si>
  <x:si>
    <x:t xml:space="preserve">VALID</x:t>
  </x:si>
  <x:si>
    <x:t xml:space="preserve">LINEAR</x:t>
  </x:si>
  <x:si>
    <x:t xml:space="preserve">CALIBRATION</x:t>
  </x:si>
  <x:si>
    <x:t xml:space="preserve">SCORED</x:t>
  </x:si>
  <x:si>
    <x:t xml:space="preserve">IN_PROGRESS</x:t>
  </x:si>
  <x:si>
    <x:t xml:space="preserve">NO</x:t>
  </x:si>
  <x:si>
    <x:t xml:space="preserve">NO_TARGET</x:t>
  </x:si>
  <x:si>
    <x:t xml:space="preserve">QUADRATIC</x:t>
  </x:si>
  <x:si>
    <x:t xml:space="preserve">HOLDOUT</x:t>
  </x:si>
  <x:si>
    <x:t xml:space="preserve">SHORT</x:t>
  </x:si>
  <x:si>
    <x:t xml:space="preserve">PASS</x:t>
  </x:si>
  <x:si>
    <x:t xml:space="preserve">WRONG_TAG</x:t>
  </x:si>
  <x:si>
    <x:t xml:space="preserve">PIECEWISE</x:t>
  </x:si>
  <x:si>
    <x:t xml:space="preserve">LONG</x:t>
  </x:si>
  <x:si>
    <x:t xml:space="preserve">FAIL</x:t>
  </x:si>
  <x:si>
    <x:t xml:space="preserve">STALE</x:t>
  </x:si>
  <x:si>
    <x:t xml:space="preserve">REBOUND</x:t>
  </x:si>
  <x:si>
    <x:t xml:space="preserve">BLOCKED</x:t>
  </x:si>
  <x:si>
    <x:t xml:space="preserve">PIPELINE_MISMATCH</x:t>
  </x:si>
  <x:si>
    <x:t xml:space="preserve">OTHER</x:t>
  </x:si>
  <x:si>
    <x:t xml:space="preserve">ABORTED</x:t>
  </x:si>
  <x:si>
    <x:t xml:space="preserve">DEVICE_DISCONNECTED</x:t>
  </x:si>
  <x:si>
    <x:t xml:space="preserve">INVALID_DATA</x:t>
  </x:si>
  <x:si>
    <x:t xml:space="preserve">INVALID</x:t>
  </x:si>
  <x:si>
    <x:t xml:space="preserve">NOT_APPLICABLE</x:t>
  </x:si>
  <x:si>
    <x:t xml:space="preserve">MP03.1 — CONFIGURACIÓN</x:t>
  </x:si>
  <x:si>
    <x:t xml:space="preserve">Completar antes de lifecycle.</x:t>
  </x:si>
  <x:si>
    <x:t xml:space="preserve">TestId</x:t>
  </x:si>
  <x:si>
    <x:t xml:space="preserve">Item</x:t>
  </x:si>
  <x:si>
    <x:t xml:space="preserve">Expected</x:t>
  </x:si>
  <x:si>
    <x:t xml:space="preserve">Observed</x:t>
  </x:si>
  <x:si>
    <x:t xml:space="preserve">EvidenceRef</x:t>
  </x:si>
  <x:si>
    <x:t xml:space="preserve">AbortReason</x:t>
  </x:si>
  <x:si>
    <x:t xml:space="preserve">Notes</x:t>
  </x:si>
  <x:si>
    <x:t xml:space="preserve">CFG-01</x:t>
  </x:si>
  <x:si>
    <x:t xml:space="preserve">Mapping RC</x:t>
  </x:si>
  <x:si>
    <x:t xml:space="preserve">limelight</x:t>
  </x:si>
  <x:si>
    <x:t xml:space="preserve">CFG-02</x:t>
  </x:si>
  <x:si>
    <x:t xml:space="preserve">Firmware/UI</x:t>
  </x:si>
  <x:si>
    <x:t xml:space="preserve">CFG-03</x:t>
  </x:si>
  <x:si>
    <x:t xml:space="preserve">Pipeline index</x:t>
  </x:si>
  <x:si>
    <x:t xml:space="preserve">CFG-04</x:t>
  </x:si>
  <x:si>
    <x:t xml:space="preserve">Resolución/FPS</x:t>
  </x:si>
  <x:si>
    <x:t xml:space="preserve">640x480 / 90</x:t>
  </x:si>
  <x:si>
    <x:t xml:space="preserve">CFG-05</x:t>
  </x:si>
  <x:si>
    <x:t xml:space="preserve">Tag family</x:t>
  </x:si>
  <x:si>
    <x:t xml:space="preserve">AprilTag Classic 36h11</x:t>
  </x:si>
  <x:si>
    <x:t xml:space="preserve">CFG-06</x:t>
  </x:si>
  <x:si>
    <x:t xml:space="preserve">Marker black size</x:t>
  </x:si>
  <x:si>
    <x:t xml:space="preserve">165.1 mm</x:t>
  </x:si>
  <x:si>
    <x:t xml:space="preserve">CFG-07</x:t>
  </x:si>
  <x:si>
    <x:t xml:space="preserve">fiducial_skip3d</x:t>
  </x:si>
  <x:si>
    <x:t xml:space="preserve">Debe habilitar pose 3D</x:t>
  </x:si>
  <x:si>
    <x:t xml:space="preserve">CFG-08</x:t>
  </x:si>
  <x:si>
    <x:t xml:space="preserve">Field map export/hash</x:t>
  </x:si>
  <x:si>
    <x:t xml:space="preserve">Presente + SHA-256</x:t>
  </x:si>
  <x:si>
    <x:t xml:space="preserve">CFG-09</x:t>
  </x:si>
  <x:si>
    <x:t xml:space="preserve">Extrínseca activa</x:t>
  </x:si>
  <x:si>
    <x:t xml:space="preserve">30 deg, yaw=0, roll=0</x:t>
  </x:si>
  <x:si>
    <x:t xml:space="preserve">Usar geometria-robot-mp04.md</x:t>
  </x:si>
  <x:si>
    <x:t xml:space="preserve">CFG-10</x:t>
  </x:si>
  <x:si>
    <x:t xml:space="preserve">Montaje rígido</x:t>
  </x:si>
  <x:si>
    <x:t xml:space="preserve">CFG-11</x:t>
  </x:si>
  <x:si>
    <x:t xml:space="preserve">Oclusión en posiciones de prueba</x:t>
  </x:si>
  <x:si>
    <x:t xml:space="preserve">CFG-12</x:t>
  </x:si>
  <x:si>
    <x:t xml:space="preserve">Tag azul 20 disponible</x:t>
  </x:si>
  <x:si>
    <x:t xml:space="preserve">CFG-13</x:t>
  </x:si>
  <x:si>
    <x:t xml:space="preserve">Tag rojo 24 disponible</x:t>
  </x:si>
  <x:si>
    <x:t xml:space="preserve">CFG-14</x:t>
  </x:si>
  <x:si>
    <x:t xml:space="preserve">Sin consumidores de actuadores</x:t>
  </x:si>
  <x:si>
    <x:t xml:space="preserve">Revisión humana</x:t>
  </x:si>
  <x:si>
    <x:t xml:space="preserve">MP03.2 — CINCO CICLOS</x:t>
  </x:si>
  <x:si>
    <x:t xml:space="preserve">Mismo APK. Movimiento o excepción aborta.</x:t>
  </x:si>
  <x:si>
    <x:t xml:space="preserve">Cycle</x:t>
  </x:si>
  <x:si>
    <x:t xml:space="preserve">Init</x:t>
  </x:si>
  <x:si>
    <x:t xml:space="preserve">Start</x:t>
  </x:si>
  <x:si>
    <x:t xml:space="preserve">Stop</x:t>
  </x:si>
  <x:si>
    <x:t xml:space="preserve">Connected</x:t>
  </x:si>
  <x:si>
    <x:t xml:space="preserve">PipelineObserved</x:t>
  </x:si>
  <x:si>
    <x:t xml:space="preserve">Exception</x:t>
  </x:si>
  <x:si>
    <x:t xml:space="preserve">ResourceOpenAfterStop</x:t>
  </x:si>
  <x:si>
    <x:t xml:space="preserve">AnyMovement</x:t>
  </x:si>
  <x:si>
    <x:t xml:space="preserve">LIFE-1</x:t>
  </x:si>
  <x:si>
    <x:t xml:space="preserve">LIFE-2</x:t>
  </x:si>
  <x:si>
    <x:t xml:space="preserve">LIFE-3</x:t>
  </x:si>
  <x:si>
    <x:t xml:space="preserve">LIFE-4</x:t>
  </x:si>
  <x:si>
    <x:t xml:space="preserve">LIFE-5</x:t>
  </x:si>
  <x:si>
    <x:t xml:space="preserve">MP03.3 — TAGS Y POSE 3D</x:t>
  </x:si>
  <x:si>
    <x:t xml:space="preserve">Una fila por observación nueva; no promediar a mano.</x:t>
  </x:si>
  <x:si>
    <x:t xml:space="preserve">AttemptId</x:t>
  </x:si>
  <x:si>
    <x:t xml:space="preserve">TagId</x:t>
  </x:si>
  <x:si>
    <x:t xml:space="preserve">Alliance</x:t>
  </x:si>
  <x:si>
    <x:t xml:space="preserve">ExpectedTag</x:t>
  </x:si>
  <x:si>
    <x:t xml:space="preserve">TxDeg</x:t>
  </x:si>
  <x:si>
    <x:t xml:space="preserve">TyDeg</x:t>
  </x:si>
  <x:si>
    <x:t xml:space="preserve">AreaPct</x:t>
  </x:si>
  <x:si>
    <x:t xml:space="preserve">StalenessMs</x:t>
  </x:si>
  <x:si>
    <x:t xml:space="preserve">TargetLatencyMs</x:t>
  </x:si>
  <x:si>
    <x:t xml:space="preserve">CaptureLatencyMs</x:t>
  </x:si>
  <x:si>
    <x:t xml:space="preserve">TotalLatencyMs</x:t>
  </x:si>
  <x:si>
    <x:t xml:space="preserve">TagCount</x:t>
  </x:si>
  <x:si>
    <x:t xml:space="preserve">BotPoseAvailable</x:t>
  </x:si>
  <x:si>
    <x:t xml:space="preserve">BotX</x:t>
  </x:si>
  <x:si>
    <x:t xml:space="preserve">BotY</x:t>
  </x:si>
  <x:si>
    <x:t xml:space="preserve">BotZ</x:t>
  </x:si>
  <x:si>
    <x:t xml:space="preserve">BotYawDeg</x:t>
  </x:si>
  <x:si>
    <x:t xml:space="preserve">Finite</x:t>
  </x:si>
  <x:si>
    <x:t xml:space="preserve">RejectionReason</x:t>
  </x:si>
  <x:si>
    <x:t xml:space="preserve">TAG-01</x:t>
  </x:si>
  <x:si>
    <x:t xml:space="preserve">TAG-02</x:t>
  </x:si>
  <x:si>
    <x:t xml:space="preserve">TAG-03</x:t>
  </x:si>
  <x:si>
    <x:t xml:space="preserve">TAG-04</x:t>
  </x:si>
  <x:si>
    <x:t xml:space="preserve">TAG-05</x:t>
  </x:si>
  <x:si>
    <x:t xml:space="preserve">TAG-06</x:t>
  </x:si>
  <x:si>
    <x:t xml:space="preserve">TAG-07</x:t>
  </x:si>
  <x:si>
    <x:t xml:space="preserve">TAG-08</x:t>
  </x:si>
  <x:si>
    <x:t xml:space="preserve">TAG-09</x:t>
  </x:si>
  <x:si>
    <x:t xml:space="preserve">TAG-10</x:t>
  </x:si>
  <x:si>
    <x:t xml:space="preserve">TAG-11</x:t>
  </x:si>
  <x:si>
    <x:t xml:space="preserve">TAG-12</x:t>
  </x:si>
  <x:si>
    <x:t xml:space="preserve">TAG-13</x:t>
  </x:si>
  <x:si>
    <x:t xml:space="preserve">TAG-14</x:t>
  </x:si>
  <x:si>
    <x:t xml:space="preserve">TAG-15</x:t>
  </x:si>
  <x:si>
    <x:t xml:space="preserve">TAG-16</x:t>
  </x:si>
  <x:si>
    <x:t xml:space="preserve">TAG-17</x:t>
  </x:si>
  <x:si>
    <x:t xml:space="preserve">TAG-18</x:t>
  </x:si>
  <x:si>
    <x:t xml:space="preserve">TAG-19</x:t>
  </x:si>
  <x:si>
    <x:t xml:space="preserve">TAG-20</x:t>
  </x:si>
  <x:si>
    <x:t xml:space="preserve">TAG-21</x:t>
  </x:si>
  <x:si>
    <x:t xml:space="preserve">TAG-22</x:t>
  </x:si>
  <x:si>
    <x:t xml:space="preserve">TAG-23</x:t>
  </x:si>
  <x:si>
    <x:t xml:space="preserve">TAG-24</x:t>
  </x:si>
  <x:si>
    <x:t xml:space="preserve">TAG-25</x:t>
  </x:si>
  <x:si>
    <x:t xml:space="preserve">TAG-26</x:t>
  </x:si>
  <x:si>
    <x:t xml:space="preserve">TAG-27</x:t>
  </x:si>
  <x:si>
    <x:t xml:space="preserve">TAG-28</x:t>
  </x:si>
  <x:si>
    <x:t xml:space="preserve">TAG-29</x:t>
  </x:si>
  <x:si>
    <x:t xml:space="preserve">TAG-30</x:t>
  </x:si>
  <x:si>
    <x:t xml:space="preserve">TAG-31</x:t>
  </x:si>
  <x:si>
    <x:t xml:space="preserve">TAG-32</x:t>
  </x:si>
  <x:si>
    <x:t xml:space="preserve">TAG-33</x:t>
  </x:si>
  <x:si>
    <x:t xml:space="preserve">TAG-34</x:t>
  </x:si>
  <x:si>
    <x:t xml:space="preserve">TAG-35</x:t>
  </x:si>
  <x:si>
    <x:t xml:space="preserve">TAG-36</x:t>
  </x:si>
  <x:si>
    <x:t xml:space="preserve">TAG-37</x:t>
  </x:si>
  <x:si>
    <x:t xml:space="preserve">TAG-38</x:t>
  </x:si>
  <x:si>
    <x:t xml:space="preserve">TAG-39</x:t>
  </x:si>
  <x:si>
    <x:t xml:space="preserve">TAG-40</x:t>
  </x:si>
  <x:si>
    <x:t xml:space="preserve">MP03.4 — FALLOS Y RECUPERACIÓN</x:t>
  </x:si>
  <x:si>
    <x:t xml:space="preserve">Todos mantienen actuadores inmóviles.</x:t>
  </x:si>
  <x:si>
    <x:t xml:space="preserve">Case</x:t>
  </x:si>
  <x:si>
    <x:t xml:space="preserve">ExpectedQuality</x:t>
  </x:si>
  <x:si>
    <x:t xml:space="preserve">ObservedQuality</x:t>
  </x:si>
  <x:si>
    <x:t xml:space="preserve">ActionableValuesZero</x:t>
  </x:si>
  <x:si>
    <x:t xml:space="preserve">Recovered</x:t>
  </x:si>
  <x:si>
    <x:t xml:space="preserve">FLT-01</x:t>
  </x:si>
  <x:si>
    <x:t xml:space="preserve">Camera covered</x:t>
  </x:si>
  <x:si>
    <x:t xml:space="preserve">NO_TARGET or STALE</x:t>
  </x:si>
  <x:si>
    <x:t xml:space="preserve">FLT-02</x:t>
  </x:si>
  <x:si>
    <x:t xml:space="preserve">Wrong tag</x:t>
  </x:si>
  <x:si>
    <x:t xml:space="preserve">FLT-03</x:t>
  </x:si>
  <x:si>
    <x:t xml:space="preserve">Invalid result</x:t>
  </x:si>
  <x:si>
    <x:t xml:space="preserve">FLT-04</x:t>
  </x:si>
  <x:si>
    <x:t xml:space="preserve">Wrong pipeline</x:t>
  </x:si>
  <x:si>
    <x:t xml:space="preserve">FLT-05</x:t>
  </x:si>
  <x:si>
    <x:t xml:space="preserve">Disconnect</x:t>
  </x:si>
  <x:si>
    <x:t xml:space="preserve">FLT-06</x:t>
  </x:si>
  <x:si>
    <x:t xml:space="preserve">Reconnect</x:t>
  </x:si>
  <x:si>
    <x:t xml:space="preserve">Telemetry only recovery</x:t>
  </x:si>
  <x:si>
    <x:t xml:space="preserve">FLT-07</x:t>
  </x:si>
  <x:si>
    <x:t xml:space="preserve">Stale frame</x:t>
  </x:si>
  <x:si>
    <x:t xml:space="preserve">FLT-08</x:t>
  </x:si>
  <x:si>
    <x:t xml:space="preserve">No 3D pose</x:t>
  </x:si>
  <x:si>
    <x:t xml:space="preserve">Rejected / no actionable pose</x:t>
  </x:si>
  <x:si>
    <x:t xml:space="preserve">MP03.5 — POSE ESTÁTICA DIAGNÓSTICA</x:t>
  </x:si>
  <x:si>
    <x:t xml:space="preserve">No aplica corrección. Registrar marco y unidades.</x:t>
  </x:si>
  <x:si>
    <x:t xml:space="preserve">PhysicalXIn</x:t>
  </x:si>
  <x:si>
    <x:t xml:space="preserve">PhysicalYIn</x:t>
  </x:si>
  <x:si>
    <x:t xml:space="preserve">PhysicalHeadingDeg</x:t>
  </x:si>
  <x:si>
    <x:t xml:space="preserve">LimelightXIn</x:t>
  </x:si>
  <x:si>
    <x:t xml:space="preserve">LimelightYIn</x:t>
  </x:si>
  <x:si>
    <x:t xml:space="preserve">LimelightHeadingDeg</x:t>
  </x:si>
  <x:si>
    <x:t xml:space="preserve">ResidualXIn</x:t>
  </x:si>
  <x:si>
    <x:t xml:space="preserve">ResidualYIn</x:t>
  </x:si>
  <x:si>
    <x:t xml:space="preserve">ResidualDistanceIn</x:t>
  </x:si>
  <x:si>
    <x:t xml:space="preserve">ResidualHeadingDeg</x:t>
  </x:si>
  <x:si>
    <x:t xml:space="preserve">POSE-01</x:t>
  </x:si>
  <x:si>
    <x:t xml:space="preserve">POSE-02</x:t>
  </x:si>
  <x:si>
    <x:t xml:space="preserve">POSE-03</x:t>
  </x:si>
  <x:si>
    <x:t xml:space="preserve">POSE-04</x:t>
  </x:si>
  <x:si>
    <x:t xml:space="preserve">POSE-05</x:t>
  </x:si>
  <x:si>
    <x:t xml:space="preserve">POSE-06</x:t>
  </x:si>
  <x:si>
    <x:t xml:space="preserve">POSE-07</x:t>
  </x:si>
  <x:si>
    <x:t xml:space="preserve">POSE-08</x:t>
  </x:si>
  <x:si>
    <x:t xml:space="preserve">POSE-09</x:t>
  </x:si>
  <x:si>
    <x:t xml:space="preserve">POSE-10</x:t>
  </x:si>
  <x:si>
    <x:t xml:space="preserve">POSE-11</x:t>
  </x:si>
  <x:si>
    <x:t xml:space="preserve">POSE-12</x:t>
  </x:si>
  <x:si>
    <x:t xml:space="preserve">POSE-13</x:t>
  </x:si>
  <x:si>
    <x:t xml:space="preserve">POSE-14</x:t>
  </x:si>
  <x:si>
    <x:t xml:space="preserve">POSE-15</x:t>
  </x:si>
  <x:si>
    <x:t xml:space="preserve">POSE-16</x:t>
  </x:si>
  <x:si>
    <x:t xml:space="preserve">POSE-17</x:t>
  </x:si>
  <x:si>
    <x:t xml:space="preserve">POSE-18</x:t>
  </x:si>
  <x:si>
    <x:t xml:space="preserve">POSE-19</x:t>
  </x:si>
  <x:si>
    <x:t xml:space="preserve">POSE-20</x:t>
  </x:si>
  <x:si>
    <x:t xml:space="preserve">DATASET DE TIRO — EXTRA RPM/DISTANCIA</x:t>
  </x:si>
  <x:si>
    <x:t xml:space="preserve">Preparado para sesiones posteriores. MP-03 no autoriza tiros.</x:t>
  </x:si>
  <x:si>
    <x:t xml:space="preserve">sessionId</x:t>
  </x:si>
  <x:si>
    <x:t xml:space="preserve">distanceGroupId</x:t>
  </x:si>
  <x:si>
    <x:t xml:space="preserve">modelKind</x:t>
  </x:si>
  <x:si>
    <x:t xml:space="preserve">role</x:t>
  </x:si>
  <x:si>
    <x:t xml:space="preserve">distanceInches</x:t>
  </x:si>
  <x:si>
    <x:t xml:space="preserve">targetRpm</x:t>
  </x:si>
  <x:si>
    <x:t xml:space="preserve">measuredRpmAtFeed</x:t>
  </x:si>
  <x:si>
    <x:t xml:space="preserve">rpmReadyHoldMs</x:t>
  </x:si>
  <x:si>
    <x:t xml:space="preserve">outcome</x:t>
  </x:si>
  <x:si>
    <x:t xml:space="preserve">Position</x:t>
  </x:si>
  <x:si>
    <x:t xml:space="preserve">BatteryId</x:t>
  </x:si>
  <x:si>
    <x:t xml:space="preserve">FusedXIn</x:t>
  </x:si>
  <x:si>
    <x:t xml:space="preserve">FusedYIn</x:t>
  </x:si>
  <x:si>
    <x:t xml:space="preserve">FusedHeadingDeg</x:t>
  </x:si>
  <x:si>
    <x:t xml:space="preserve">TurretErrorDeg</x:t>
  </x:si>
  <x:si>
    <x:t xml:space="preserve">ArtifactBatch</x:t>
  </x:si>
  <x:si>
    <x:t xml:space="preserve">RpmError</x:t>
  </x:si>
  <x:si>
    <x:t xml:space="preserve">ReadyGate</x:t>
  </x:si>
  <x:si>
    <x:t xml:space="preserve">SHOT-001</x:t>
  </x:si>
  <x:si>
    <x:t xml:space="preserve">R1</x:t>
  </x:si>
  <x:si>
    <x:t xml:space="preserve">SHOT-002</x:t>
  </x:si>
  <x:si>
    <x:t xml:space="preserve">SHOT-003</x:t>
  </x:si>
  <x:si>
    <x:t xml:space="preserve">SHOT-004</x:t>
  </x:si>
  <x:si>
    <x:t xml:space="preserve">SHOT-005</x:t>
  </x:si>
  <x:si>
    <x:t xml:space="preserve">SHOT-006</x:t>
  </x:si>
  <x:si>
    <x:t xml:space="preserve">SHOT-007</x:t>
  </x:si>
  <x:si>
    <x:t xml:space="preserve">SHOT-008</x:t>
  </x:si>
  <x:si>
    <x:t xml:space="preserve">SHOT-009</x:t>
  </x:si>
  <x:si>
    <x:t xml:space="preserve">SHOT-010</x:t>
  </x:si>
  <x:si>
    <x:t xml:space="preserve">SHOT-011</x:t>
  </x:si>
  <x:si>
    <x:t xml:space="preserve">SHOT-012</x:t>
  </x:si>
  <x:si>
    <x:t xml:space="preserve">SHOT-013</x:t>
  </x:si>
  <x:si>
    <x:t xml:space="preserve">SHOT-014</x:t>
  </x:si>
  <x:si>
    <x:t xml:space="preserve">SHOT-015</x:t>
  </x:si>
  <x:si>
    <x:t xml:space="preserve">SHOT-016</x:t>
  </x:si>
  <x:si>
    <x:t xml:space="preserve">SHOT-017</x:t>
  </x:si>
  <x:si>
    <x:t xml:space="preserve">SHOT-018</x:t>
  </x:si>
  <x:si>
    <x:t xml:space="preserve">SHOT-019</x:t>
  </x:si>
  <x:si>
    <x:t xml:space="preserve">SHOT-020</x:t>
  </x:si>
  <x:si>
    <x:t xml:space="preserve">SHOT-021</x:t>
  </x:si>
  <x:si>
    <x:t xml:space="preserve">SHOT-022</x:t>
  </x:si>
  <x:si>
    <x:t xml:space="preserve">SHOT-023</x:t>
  </x:si>
  <x:si>
    <x:t xml:space="preserve">SHOT-024</x:t>
  </x:si>
  <x:si>
    <x:t xml:space="preserve">SHOT-025</x:t>
  </x:si>
  <x:si>
    <x:t xml:space="preserve">SHOT-026</x:t>
  </x:si>
  <x:si>
    <x:t xml:space="preserve">SHOT-027</x:t>
  </x:si>
  <x:si>
    <x:t xml:space="preserve">SHOT-028</x:t>
  </x:si>
  <x:si>
    <x:t xml:space="preserve">SHOT-029</x:t>
  </x:si>
  <x:si>
    <x:t xml:space="preserve">SHOT-030</x:t>
  </x:si>
  <x:si>
    <x:t xml:space="preserve">SHOT-031</x:t>
  </x:si>
  <x:si>
    <x:t xml:space="preserve">SHOT-032</x:t>
  </x:si>
  <x:si>
    <x:t xml:space="preserve">SHOT-033</x:t>
  </x:si>
  <x:si>
    <x:t xml:space="preserve">SHOT-034</x:t>
  </x:si>
  <x:si>
    <x:t xml:space="preserve">SHOT-035</x:t>
  </x:si>
  <x:si>
    <x:t xml:space="preserve">SHOT-036</x:t>
  </x:si>
  <x:si>
    <x:t xml:space="preserve">SHOT-037</x:t>
  </x:si>
  <x:si>
    <x:t xml:space="preserve">SHOT-038</x:t>
  </x:si>
  <x:si>
    <x:t xml:space="preserve">SHOT-039</x:t>
  </x:si>
  <x:si>
    <x:t xml:space="preserve">SHOT-040</x:t>
  </x:si>
  <x:si>
    <x:t xml:space="preserve">SHOT-041</x:t>
  </x:si>
  <x:si>
    <x:t xml:space="preserve">SHOT-042</x:t>
  </x:si>
  <x:si>
    <x:t xml:space="preserve">SHOT-043</x:t>
  </x:si>
  <x:si>
    <x:t xml:space="preserve">SHOT-044</x:t>
  </x:si>
  <x:si>
    <x:t xml:space="preserve">SHOT-045</x:t>
  </x:si>
  <x:si>
    <x:t xml:space="preserve">SHOT-046</x:t>
  </x:si>
  <x:si>
    <x:t xml:space="preserve">SHOT-047</x:t>
  </x:si>
  <x:si>
    <x:t xml:space="preserve">SHOT-048</x:t>
  </x:si>
  <x:si>
    <x:t xml:space="preserve">SHOT-049</x:t>
  </x:si>
  <x:si>
    <x:t xml:space="preserve">SHOT-050</x:t>
  </x:si>
  <x:si>
    <x:t xml:space="preserve">SHOT-051</x:t>
  </x:si>
  <x:si>
    <x:t xml:space="preserve">SHOT-052</x:t>
  </x:si>
  <x:si>
    <x:t xml:space="preserve">SHOT-053</x:t>
  </x:si>
  <x:si>
    <x:t xml:space="preserve">SHOT-054</x:t>
  </x:si>
  <x:si>
    <x:t xml:space="preserve">SHOT-055</x:t>
  </x:si>
  <x:si>
    <x:t xml:space="preserve">SHOT-056</x:t>
  </x:si>
  <x:si>
    <x:t xml:space="preserve">SHOT-057</x:t>
  </x:si>
  <x:si>
    <x:t xml:space="preserve">SHOT-058</x:t>
  </x:si>
  <x:si>
    <x:t xml:space="preserve">SHOT-059</x:t>
  </x:si>
  <x:si>
    <x:t xml:space="preserve">SHOT-060</x:t>
  </x:si>
  <x:si>
    <x:t xml:space="preserve">EXPORT SHOT_DATASET — CSV</x:t>
  </x:si>
  <x:si>
    <x:t xml:space="preserve">Exportar como CSV; #sessionId hace que el parser ignore el header.</x:t>
  </x:si>
  <x:si>
    <x:t xml:space="preserve">#sessionId</x:t>
  </x:si>
  <x:si>
    <x:t xml:space="preserve">DASHBOARD MP-03</x:t>
  </x:si>
  <x:si>
    <x:t xml:space="preserve">Resumen automático. No editar fórmulas.</x:t>
  </x:si>
  <x:si>
    <x:t xml:space="preserve">Gate</x:t>
  </x:si>
  <x:si>
    <x:t xml:space="preserve">Criterio</x:t>
  </x:si>
  <x:si>
    <x:t xml:space="preserve">Dataset extra</x:t>
  </x:si>
  <x:si>
    <x:t xml:space="preserve">Meaning</x:t>
  </x:si>
  <x:si>
    <x:t xml:space="preserve">Configuración</x:t>
  </x:si>
  <x:si>
    <x:t xml:space="preserve">14/14 items PASS</x:t>
  </x:si>
  <x:si>
    <x:t xml:space="preserve">Rows captured</x:t>
  </x:si>
  <x:si>
    <x:t xml:space="preserve">Tiros con sessionId</x:t>
  </x:si>
  <x:si>
    <x:t xml:space="preserve">Lifecycle</x:t>
  </x:si>
  <x:si>
    <x:t xml:space="preserve">5/5 ciclos PASS</x:t>
  </x:si>
  <x:si>
    <x:t xml:space="preserve">Rows ready</x:t>
  </x:si>
  <x:si>
    <x:t xml:space="preserve">RPM gate PASS</x:t>
  </x:si>
  <x:si>
    <x:t xml:space="preserve">Tags</x:t>
  </x:si>
  <x:si>
    <x:t xml:space="preserve">IDs 20/24 con pose 3D válida/fresca</x:t>
  </x:si>
  <x:si>
    <x:t xml:space="preserve">Scored</x:t>
  </x:si>
  <x:si>
    <x:t xml:space="preserve">Outcome SCORED</x:t>
  </x:si>
  <x:si>
    <x:t xml:space="preserve">Faults</x:t>
  </x:si>
  <x:si>
    <x:t xml:space="preserve">8/8 casos PASS</x:t>
  </x:si>
  <x:si>
    <x:t xml:space="preserve">Model status</x:t>
  </x:si>
  <x:si>
    <x:t xml:space="preserve">EXTRA / NOT BLOCKING</x:t>
  </x:si>
  <x:si>
    <x:t xml:space="preserve">No afecta MP-03</x:t>
  </x:si>
  <x:si>
    <x:t xml:space="preserve">MP-03</x:t>
  </x:si>
  <x:si>
    <x:t xml:space="preserve">Todos PASS</x:t>
  </x:si>
  <x:si>
    <x:t xml:space="preserve">MP-03 PASS sólo autoriza abrir MP-04. Nunca autoriza movimiento o disparo.</x:t>
  </x:si>
  <x:si>
    <x:t xml:space="preserve">TRIPLE QA DEL TEMPLATE</x:t>
  </x:si>
  <x:si>
    <x:t xml:space="preserve">Fallback Excel nativo autorizado; SHA final está en sidecar.</x:t>
  </x:si>
  <x:si>
    <x:t xml:space="preserve">CheckId</x:t>
  </x:si>
  <x:si>
    <x:t xml:space="preserve">Layer</x:t>
  </x:si>
  <x:si>
    <x:t xml:space="preserve">Check</x:t>
  </x:si>
  <x:si>
    <x:t xml:space="preserve">Evidence</x:t>
  </x:si>
  <x:si>
    <x:t xml:space="preserve">QA1-01</x:t>
  </x:si>
  <x:si>
    <x:t xml:space="preserve">SOURCE</x:t>
  </x:si>
  <x:si>
    <x:t xml:space="preserve">AGENTS/docs MP-03 leídos</x:t>
  </x:si>
  <x:si>
    <x:t xml:space="preserve">Builder manifest</x:t>
  </x:si>
  <x:si>
    <x:t xml:space="preserve">QA1-02</x:t>
  </x:si>
  <x:si>
    <x:t xml:space="preserve">IDs/unidades/thresholds cotejados</x:t>
  </x:si>
  <x:si>
    <x:t xml:space="preserve">CONFIG</x:t>
  </x:si>
  <x:si>
    <x:t xml:space="preserve">QA1-03</x:t>
  </x:si>
  <x:si>
    <x:t xml:space="preserve">Dataset coincide con ShotDatasetCsv</x:t>
  </x:si>
  <x:si>
    <x:t xml:space="preserve">EXPORT_SHOT_DATASET</x:t>
  </x:si>
  <x:si>
    <x:t xml:space="preserve">QA2-01</x:t>
  </x:si>
  <x:si>
    <x:t xml:space="preserve">FORMULA</x:t>
  </x:si>
  <x:si>
    <x:t xml:space="preserve">Libro vacío no declara PASS</x:t>
  </x:si>
  <x:si>
    <x:t xml:space="preserve">Fixture</x:t>
  </x:si>
  <x:si>
    <x:t xml:space="preserve">QA2-02</x:t>
  </x:si>
  <x:si>
    <x:t xml:space="preserve">PASS/FAIL/BLOCKED boundaries</x:t>
  </x:si>
  <x:si>
    <x:t xml:space="preserve">QA2-03</x:t>
  </x:si>
  <x:si>
    <x:t xml:space="preserve">Sin errores de fórmula</x:t>
  </x:si>
  <x:si>
    <x:t xml:space="preserve">Reopen scan</x:t>
  </x:si>
  <x:si>
    <x:t xml:space="preserve">QA2-04</x:t>
  </x:si>
  <x:si>
    <x:t xml:space="preserve">SCHEMA</x:t>
  </x:si>
  <x:si>
    <x:t xml:space="preserve">Exports/tablas conservan columnas</x:t>
  </x:si>
  <x:si>
    <x:t xml:space="preserve">Reopen</x:t>
  </x:si>
  <x:si>
    <x:t xml:space="preserve">QA3-01</x:t>
  </x:si>
  <x:si>
    <x:t xml:space="preserve">ROUND_TRIP</x:t>
  </x:si>
  <x:si>
    <x:t xml:space="preserve">Export/reimport exitoso</x:t>
  </x:si>
  <x:si>
    <x:t xml:space="preserve">Excel reopen</x:t>
  </x:si>
  <x:si>
    <x:t xml:space="preserve">QA3-02</x:t>
  </x:si>
  <x:si>
    <x:t xml:space="preserve">VISUAL</x:t>
  </x:si>
  <x:si>
    <x:t xml:space="preserve">Todas las hojas renderizadas</x:t>
  </x:si>
  <x:si>
    <x:t xml:space="preserve">PNG/PDF</x:t>
  </x:si>
  <x:si>
    <x:t xml:space="preserve">QA3-03</x:t>
  </x:si>
  <x:si>
    <x:t xml:space="preserve">Revisión humana sin defectos severos</x:t>
  </x:si>
  <x:si>
    <x:t xml:space="preserve">Preview review</x:t>
  </x:si>
  <x:si>
    <x:t xml:space="preserve">QA3-04</x:t>
  </x:si>
  <x:si>
    <x:t xml:space="preserve">HASH</x:t>
  </x:si>
  <x:si>
    <x:t xml:space="preserve">SHA-256 final guardado</x:t>
  </x:si>
  <x:si>
    <x:t xml:space="preserve">.sha256 sidecar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</x:si>
</x:sst>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  <x:font>
      <x:b/>
      <x:sz val="16"/>
      <x:color rgb="FFFFFFFF"/>
      <x:name val="Aptos Narrow"/>
    </x:font>
    <x:font>
      <x:i/>
      <x:sz val="11"/>
      <x:color theme="1"/>
      <x:name val="Aptos Narrow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C00000"/>
      </x:patternFill>
    </x:fill>
    <x:fill>
      <x:patternFill patternType="solid">
        <x:fgColor rgb="FFFCE5CD"/>
      </x:patternFill>
    </x:fill>
    <x:fill>
      <x:patternFill patternType="solid">
        <x:fgColor rgb="FFE7E6E6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2" fillId="4" borderId="1" xfId="0" applyFont="1" applyFill="1" applyBorder="1" applyAlignment="1">
      <x:alignment horizontal="center" vertical="center" wrapText="1"/>
    </x:xf>
    <x:xf numFmtId="0" fontId="0" fillId="5" borderId="1" xfId="0" applyFill="1" applyBorder="1"/>
    <x:xf numFmtId="0" fontId="0" fillId="8" borderId="0" xfId="0" applyFill="1"/>
    <x:xf numFmtId="0" fontId="0" fillId="8" borderId="1" xfId="0" applyFill="1" applyBorder="1"/>
    <x:xf numFmtId="0" fontId="0" fillId="0" borderId="0" xfId="0" applyAlignment="1">
      <x:alignment wrapText="1"/>
    </x:xf>
    <x:xf numFmtId="0" fontId="0" fillId="8" borderId="2" xfId="0" applyFill="1" applyBorder="1"/>
    <x:xf numFmtId="0" fontId="2" fillId="4" borderId="3" xfId="0" applyFont="1" applyFill="1" applyBorder="1" applyAlignment="1">
      <x:alignment horizontal="center" vertical="center" wrapText="1"/>
    </x:xf>
    <x:xf numFmtId="0" fontId="2" fillId="4" borderId="4" xfId="0" applyFont="1" applyFill="1" applyBorder="1" applyAlignment="1">
      <x:alignment horizontal="center" vertical="center" wrapText="1"/>
    </x:xf>
    <x:xf numFmtId="0" fontId="0" fillId="5" borderId="5" xfId="0" applyFill="1" applyBorder="1"/>
    <x:xf numFmtId="0" fontId="2" fillId="4" borderId="6" xfId="0" applyFont="1" applyFill="1" applyBorder="1" applyAlignment="1">
      <x:alignment horizontal="center" vertical="center" wrapText="1"/>
    </x:xf>
    <x:xf numFmtId="0" fontId="0" fillId="8" borderId="7" xfId="0" applyFill="1" applyBorder="1"/>
    <x:xf numFmtId="0" fontId="0" fillId="5" borderId="8" xfId="0" applyFill="1" applyBorder="1"/>
    <x:xf numFmtId="0" fontId="0" fillId="5" borderId="9" xfId="0" applyFill="1" applyBorder="1"/>
    <x:xf numFmtId="0" fontId="0" fillId="8" borderId="5" xfId="0" applyFill="1" applyBorder="1"/>
    <x:xf numFmtId="0" fontId="0" fillId="8" borderId="8" xfId="0" applyFill="1" applyBorder="1"/>
    <x:xf numFmtId="0" fontId="0" fillId="8" borderId="9" xfId="0" applyFill="1" applyBorder="1"/>
    <x:xf numFmtId="0" fontId="0" fillId="5" borderId="2" xfId="0" applyFill="1" applyBorder="1"/>
    <x:xf numFmtId="0" fontId="0" fillId="5" borderId="7" xfId="0" applyFill="1" applyBorder="1"/>
    <x:xf numFmtId="0" fontId="3" fillId="2" borderId="0" xfId="0" applyFont="1" applyFill="1" applyAlignment="1">
      <x:alignment horizontal="center" vertical="center"/>
    </x:xf>
    <x:xf numFmtId="0" fontId="4" fillId="3" borderId="0" xfId="0" applyFont="1" applyFill="1" applyAlignment="1">
      <x:alignment wrapText="1"/>
    </x:xf>
    <x:xf numFmtId="0" fontId="2" fillId="4" borderId="1" xfId="0" applyFont="1" applyFill="1" applyBorder="1" applyAlignment="1">
      <x:alignment horizontal="center" vertical="center" wrapText="1"/>
    </x:xf>
    <x:xf numFmtId="0" fontId="2" fillId="6" borderId="0" xfId="0" applyFont="1" applyFill="1"/>
    <x:xf numFmtId="0" fontId="1" fillId="7" borderId="0" xfId="0" applyFont="1" applyFill="1"/>
  </x:cellXfs>
  <x:cellStyles count="1">
    <x:cellStyle name="Normal" xfId="0"/>
  </x:cellStyles>
  <x:dxfs count="204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indexed="64"/>
        </x:patternFill>
      </x:fill>
      <x:border>
        <x:left style="thin">
          <x:color rgb="FFCBD5E1"/>
        </x:left>
        <x:right/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/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border>
        <x:top style="thin">
          <x:color rgb="FFCBD5E1"/>
        </x:top>
      </x:border>
    </x:dxf>
    <x:dxf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</x:dxf>
    <x:dxf>
      <x:border>
        <x:bottom style="thin">
          <x:color rgb="FFCBD5E1"/>
        </x:bottom>
      </x:border>
    </x:dxf>
    <x:dxf>
      <x:font>
        <x:b/>
        <x:u val="none"/>
        <x:sz val="11"/>
        <x:color rgb="FFFFFFFF"/>
        <x:name val="Aptos Narrow"/>
        <x:family val="2"/>
        <x:scheme val="minor"/>
      </x:font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/>
        <x:bottom/>
      </x:border>
    </x:dxf>
    <x:dxf>
      <x:fill>
        <x:patternFill>
          <x:bgColor indexed="64"/>
        </x:patternFill>
      </x:fill>
      <x:border>
        <x:left style="thin">
          <x:color rgb="FFCBD5E1"/>
        </x:left>
        <x:right/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/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border>
        <x:top style="thin">
          <x:color rgb="FFCBD5E1"/>
        </x:top>
      </x:border>
    </x:dxf>
    <x:dxf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</x:dxf>
    <x:dxf>
      <x:border>
        <x:bottom style="thin">
          <x:color rgb="FFCBD5E1"/>
        </x:bottom>
      </x:border>
    </x:dxf>
    <x:dxf>
      <x:font>
        <x:b/>
        <x:u val="none"/>
        <x:sz val="11"/>
        <x:color rgb="FFFFFFFF"/>
        <x:name val="Aptos Narrow"/>
        <x:family val="2"/>
        <x:scheme val="minor"/>
      </x:font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/>
        <x:bottom/>
      </x:border>
    </x:dxf>
    <x:dxf>
      <x:fill>
        <x:patternFill>
          <x:bgColor indexed="64"/>
        </x:patternFill>
      </x:fill>
      <x:border>
        <x:left style="thin">
          <x:color rgb="FFCBD5E1"/>
        </x:left>
        <x:right/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/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border>
        <x:top style="thin">
          <x:color rgb="FFCBD5E1"/>
        </x:top>
      </x:border>
    </x:dxf>
    <x:dxf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</x:dxf>
    <x:dxf>
      <x:border>
        <x:bottom style="thin">
          <x:color rgb="FFCBD5E1"/>
        </x:bottom>
      </x:border>
    </x:dxf>
    <x:dxf>
      <x:font>
        <x:b/>
        <x:u val="none"/>
        <x:sz val="11"/>
        <x:color rgb="FFFFFFFF"/>
        <x:name val="Aptos Narrow"/>
        <x:family val="2"/>
        <x:scheme val="minor"/>
      </x:font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/>
        <x:bottom/>
      </x:border>
    </x:dxf>
    <x:dxf>
      <x:fill>
        <x:patternFill>
          <x:bgColor indexed="64"/>
        </x:patternFill>
      </x:fill>
      <x:border>
        <x:left style="thin">
          <x:color rgb="FFCBD5E1"/>
        </x:left>
        <x:right/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/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border>
        <x:top style="thin">
          <x:color rgb="FFCBD5E1"/>
        </x:top>
      </x:border>
    </x:dxf>
    <x:dxf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</x:dxf>
    <x:dxf>
      <x:border>
        <x:bottom style="thin">
          <x:color rgb="FFCBD5E1"/>
        </x:bottom>
      </x:border>
    </x:dxf>
    <x:dxf>
      <x:font>
        <x:b/>
        <x:u val="none"/>
        <x:sz val="11"/>
        <x:color rgb="FFFFFFFF"/>
        <x:name val="Aptos Narrow"/>
        <x:family val="2"/>
        <x:scheme val="minor"/>
      </x:font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/>
        <x:bottom/>
      </x:border>
    </x:dxf>
    <x:dxf>
      <x:fill>
        <x:patternFill>
          <x:bgColor indexed="64"/>
        </x:patternFill>
      </x:fill>
      <x:border>
        <x:left style="thin">
          <x:color rgb="FFCBD5E1"/>
        </x:left>
        <x:right/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/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border>
        <x:top style="thin">
          <x:color rgb="FFCBD5E1"/>
        </x:top>
      </x:border>
    </x:dxf>
    <x:dxf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</x:dxf>
    <x:dxf>
      <x:border>
        <x:bottom style="thin">
          <x:color rgb="FFCBD5E1"/>
        </x:bottom>
      </x:border>
    </x:dxf>
    <x:dxf>
      <x:font>
        <x:b/>
        <x:u val="none"/>
        <x:sz val="11"/>
        <x:color rgb="FFFFFFFF"/>
        <x:name val="Aptos Narrow"/>
        <x:family val="2"/>
        <x:scheme val="minor"/>
      </x:font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/>
        <x:bottom/>
      </x:border>
    </x:dxf>
    <x:dxf>
      <x:fill>
        <x:patternFill>
          <x:bgColor indexed="64"/>
        </x:patternFill>
      </x:fill>
      <x:border>
        <x:left style="thin">
          <x:color rgb="FFCBD5E1"/>
        </x:left>
        <x:right/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/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border>
        <x:top style="thin">
          <x:color rgb="FFCBD5E1"/>
        </x:top>
      </x:border>
    </x:dxf>
    <x:dxf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</x:dxf>
    <x:dxf>
      <x:border>
        <x:bottom style="thin">
          <x:color rgb="FFCBD5E1"/>
        </x:bottom>
      </x:border>
    </x:dxf>
    <x:dxf>
      <x:font>
        <x:b/>
        <x:u val="none"/>
        <x:sz val="11"/>
        <x:color rgb="FFFFFFFF"/>
        <x:name val="Aptos Narrow"/>
        <x:family val="2"/>
        <x:scheme val="minor"/>
      </x:font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/>
        <x:bottom/>
      </x:border>
    </x:dxf>
    <x:dxf>
      <x:fill>
        <x:patternFill>
          <x:bgColor indexed="64"/>
        </x:patternFill>
      </x:fill>
      <x:border>
        <x:left style="thin">
          <x:color rgb="FFCBD5E1"/>
        </x:left>
        <x:right/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/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border>
        <x:top style="thin">
          <x:color rgb="FFCBD5E1"/>
        </x:top>
      </x:border>
    </x:dxf>
    <x:dxf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</x:dxf>
    <x:dxf>
      <x:border>
        <x:bottom style="thin">
          <x:color rgb="FFCBD5E1"/>
        </x:bottom>
      </x:border>
    </x:dxf>
    <x:dxf>
      <x:font>
        <x:b/>
        <x:u val="none"/>
        <x:sz val="11"/>
        <x:color rgb="FFFFFFFF"/>
        <x:name val="Aptos Narrow"/>
        <x:family val="2"/>
        <x:scheme val="minor"/>
      </x:font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/>
        <x:bottom/>
      </x:border>
    </x:dxf>
    <x:dxf>
      <x:fill>
        <x:patternFill>
          <x:bgColor indexed="64"/>
        </x:patternFill>
      </x:fill>
      <x:border>
        <x:left style="thin">
          <x:color rgb="FFCBD5E1"/>
        </x:left>
        <x:right/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/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border>
        <x:top style="thin">
          <x:color rgb="FFCBD5E1"/>
        </x:top>
      </x:border>
    </x:dxf>
    <x:dxf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</x:dxf>
    <x:dxf>
      <x:border>
        <x:bottom style="thin">
          <x:color rgb="FFCBD5E1"/>
        </x:bottom>
      </x:border>
    </x:dxf>
    <x:dxf>
      <x:font>
        <x:b/>
        <x:u val="none"/>
        <x:sz val="11"/>
        <x:color rgb="FFFFFFFF"/>
        <x:name val="Aptos Narrow"/>
        <x:family val="2"/>
        <x:scheme val="minor"/>
      </x:font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/>
        <x:bottom/>
      </x:border>
    </x:dxf>
    <x:dxf>
      <x:fill>
        <x:patternFill>
          <x:bgColor indexed="64"/>
        </x:patternFill>
      </x:fill>
      <x:border>
        <x:left style="thin">
          <x:color rgb="FFCBD5E1"/>
        </x:left>
        <x:right/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/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border>
        <x:top style="thin">
          <x:color rgb="FFCBD5E1"/>
        </x:top>
      </x:border>
    </x:dxf>
    <x:dxf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</x:dxf>
    <x:dxf>
      <x:border>
        <x:bottom style="thin">
          <x:color rgb="FFCBD5E1"/>
        </x:bottom>
      </x:border>
    </x:dxf>
    <x:dxf>
      <x:font>
        <x:b/>
        <x:u val="none"/>
        <x:sz val="11"/>
        <x:color rgb="FFFFFFFF"/>
        <x:name val="Aptos Narrow"/>
        <x:family val="2"/>
        <x:scheme val="minor"/>
      </x:font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/>
        <x:bottom/>
      </x:border>
    </x:dxf>
    <x:dxf/>
    <x:dxf/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/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border>
        <x:left style="thin">
          <x:color rgb="FFCBD5E1"/>
        </x:left>
        <x:top style="thin">
          <x:color rgb="FFCBD5E1"/>
        </x:top>
      </x:border>
    </x:dxf>
    <x:dxf>
      <x:border>
        <x:bottom style="thin">
          <x:color rgb="FFCBD5E1"/>
        </x:bottom>
      </x:border>
    </x:dxf>
    <x:dxf>
      <x:font>
        <x:b/>
        <x:u val="none"/>
        <x:sz val="11"/>
        <x:color rgb="FFFFFFFF"/>
        <x:name val="Aptos Narrow"/>
        <x:family val="2"/>
        <x:scheme val="minor"/>
      </x:font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/>
        <x:bottom/>
      </x:border>
    </x:dxf>
    <x:dxf>
      <x:fill>
        <x:patternFill>
          <x:bgColor indexed="64"/>
        </x:patternFill>
      </x:fill>
      <x:border>
        <x:left style="thin">
          <x:color rgb="FFCBD5E1"/>
        </x:left>
        <x:right/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  <x:border>
        <x:left/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border>
        <x:top style="thin">
          <x:color rgb="FFCBD5E1"/>
        </x:top>
      </x:border>
    </x:dxf>
    <x:dxf>
      <x:border>
        <x:left style="thin">
          <x:color rgb="FFCBD5E1"/>
        </x:left>
        <x:right style="thin">
          <x:color rgb="FFCBD5E1"/>
        </x:right>
        <x:top style="thin">
          <x:color rgb="FFCBD5E1"/>
        </x:top>
        <x:bottom style="thin">
          <x:color rgb="FFCBD5E1"/>
        </x:bottom>
      </x:border>
    </x:dxf>
    <x:dxf>
      <x:fill>
        <x:patternFill>
          <x:bgColor indexed="64"/>
        </x:patternFill>
      </x:fill>
    </x:dxf>
    <x:dxf>
      <x:border>
        <x:bottom style="thin">
          <x:color rgb="FFCBD5E1"/>
        </x:bottom>
      </x:border>
    </x:dxf>
    <x:dxf>
      <x:font>
        <x:b/>
        <x:u val="none"/>
        <x:sz val="11"/>
        <x:color rgb="FFFFFFFF"/>
        <x:name val="Aptos Narrow"/>
        <x:family val="2"/>
        <x:scheme val="minor"/>
      </x:font>
      <x:fill>
        <x:patternFill>
          <x:bgColor indexed="64"/>
        </x:patternFill>
      </x:fill>
      <x:border>
        <x:left style="thin">
          <x:color rgb="FFCBD5E1"/>
        </x:left>
        <x:right style="thin">
          <x:color rgb="FFCBD5E1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4e6b36fa545fe" /><Relationship Type="http://schemas.openxmlformats.org/officeDocument/2006/relationships/theme" Target="/xl/theme/theme1.xml" Id="R4c32f024d4a54e93" /><Relationship Type="http://schemas.openxmlformats.org/officeDocument/2006/relationships/sharedStrings" Target="/xl/sharedStrings.xml" Id="Ra3ba3a378a9b4194" /><Relationship Type="http://schemas.openxmlformats.org/officeDocument/2006/relationships/worksheet" Target="/xl/worksheets/sheet1.xml" Id="Rba98c67584784a8a" /><Relationship Type="http://schemas.openxmlformats.org/officeDocument/2006/relationships/worksheet" Target="/xl/worksheets/sheet2.xml" Id="R01f47dc2bf764724" /><Relationship Type="http://schemas.openxmlformats.org/officeDocument/2006/relationships/worksheet" Target="/xl/worksheets/sheet3.xml" Id="Rb26bb6e123114d5f" /><Relationship Type="http://schemas.openxmlformats.org/officeDocument/2006/relationships/worksheet" Target="/xl/worksheets/sheet4.xml" Id="Rec9cb802c3d04334" /><Relationship Type="http://schemas.openxmlformats.org/officeDocument/2006/relationships/worksheet" Target="/xl/worksheets/sheet5.xml" Id="R1ede782ceb5844cc" /><Relationship Type="http://schemas.openxmlformats.org/officeDocument/2006/relationships/worksheet" Target="/xl/worksheets/sheet6.xml" Id="Rfb9d32e4604c43fb" /><Relationship Type="http://schemas.openxmlformats.org/officeDocument/2006/relationships/worksheet" Target="/xl/worksheets/sheet7.xml" Id="R0092d2f3bd32471e" /><Relationship Type="http://schemas.openxmlformats.org/officeDocument/2006/relationships/worksheet" Target="/xl/worksheets/sheet8.xml" Id="Rfa2f33d1fb0d4952" /><Relationship Type="http://schemas.openxmlformats.org/officeDocument/2006/relationships/worksheet" Target="/xl/worksheets/sheet9.xml" Id="Re0a9b2241b904d5d" /><Relationship Type="http://schemas.openxmlformats.org/officeDocument/2006/relationships/worksheet" Target="/xl/worksheets/sheet10.xml" Id="R842c574e9830449e" /><Relationship Type="http://schemas.openxmlformats.org/officeDocument/2006/relationships/worksheet" Target="/xl/worksheets/sheet11.xml" Id="R90c4407847944708" /><Relationship Type="http://schemas.openxmlformats.org/officeDocument/2006/relationships/worksheet" Target="/xl/worksheets/sheet12.xml" Id="Ra1ace118b7544685" /><Relationship Type="http://schemas.openxmlformats.org/officeDocument/2006/relationships/worksheet" Target="/xl/worksheets/sheet13.xml" Id="R9bb212a28cbd4a97" /><Relationship Type="http://schemas.openxmlformats.org/officeDocument/2006/relationships/worksheet" Target="/xl/worksheets/sheet14.xml" Id="R52201f21a9794185" /></Relationships>
</file>

<file path=xl/tables/table1.xml><?xml version="1.0" encoding="utf-8"?>
<x:table xmlns:x="http://schemas.openxmlformats.org/spreadsheetml/2006/main" id="1" name="SessionTable" displayName="SessionTable" ref="A4:D26" totalsRowShown="0" headerRowBorderDxfId="192">
  <x:autoFilter ref="A4:D26"/>
  <x:tableColumns count="4">
    <x:tableColumn id="1" name="Campo" dataDxfId="190"/>
    <x:tableColumn id="2" name="Valor" dataDxfId="189"/>
    <x:tableColumn id="3" name="Guía" dataDxfId="188"/>
    <x:tableColumn id="4" name="Obligatorio" dataDxfId="187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ngesTable" displayName="ChangesTable" ref="A4:I34" totalsRowShown="0" dataDxfId="184" headerRowBorderDxfId="185">
  <x:autoFilter ref="A4:I34"/>
  <x:tableColumns count="9">
    <x:tableColumn id="1" name="ChangeId" dataDxfId="181"/>
    <x:tableColumn id="2" name="TimestampLocal" dataDxfId="180"/>
    <x:tableColumn id="3" name="FromRevision" dataDxfId="179"/>
    <x:tableColumn id="4" name="ToRevision" dataDxfId="178"/>
    <x:tableColumn id="5" name="Category" dataDxfId="177"/>
    <x:tableColumn id="6" name="Before" dataDxfId="176"/>
    <x:tableColumn id="7" name="After" dataDxfId="175"/>
    <x:tableColumn id="8" name="AppliesFromAttemptId" dataDxfId="174"/>
    <x:tableColumn id="9" name="Reason" dataDxfId="17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figTable" displayName="ConfigTable" ref="A4:E12" totalsRowShown="0" dataDxfId="170" headerRowBorderDxfId="171">
  <x:autoFilter ref="A4:E12"/>
  <x:tableColumns count="5">
    <x:tableColumn id="1" name="Key" dataDxfId="167"/>
    <x:tableColumn id="2" name="Value" dataDxfId="166"/>
    <x:tableColumn id="3" name="Unit" dataDxfId="165"/>
    <x:tableColumn id="4" name="Source" dataDxfId="164"/>
    <x:tableColumn id="5" name="Purpose" dataDxfId="16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p03ConfigTable" displayName="Mp03ConfigTable" ref="A4:H18" totalsRowShown="0" dataDxfId="160" headerRowBorderDxfId="161">
  <x:autoFilter ref="A4:H18"/>
  <x:tableColumns count="8">
    <x:tableColumn id="1" name="TestId" dataDxfId="157"/>
    <x:tableColumn id="2" name="Item" dataDxfId="156"/>
    <x:tableColumn id="3" name="Expected" dataDxfId="155"/>
    <x:tableColumn id="4" name="Observed" dataDxfId="154"/>
    <x:tableColumn id="5" name="EvidenceRef" dataDxfId="153"/>
    <x:tableColumn id="6" name="Status" dataDxfId="152"/>
    <x:tableColumn id="7" name="AbortReason" dataDxfId="151"/>
    <x:tableColumn id="8" name="Notes" dataDxfId="15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ifecycleTable" displayName="LifecycleTable" ref="A4:N9" totalsRowShown="0" dataDxfId="147" headerRowBorderDxfId="148">
  <x:autoFilter ref="A4:N9"/>
  <x:tableColumns count="14">
    <x:tableColumn id="1" name="TestId" dataDxfId="144"/>
    <x:tableColumn id="2" name="Cycle" dataDxfId="143"/>
    <x:tableColumn id="3" name="ConfigRevision" dataDxfId="142"/>
    <x:tableColumn id="4" name="Init" dataDxfId="141"/>
    <x:tableColumn id="5" name="Start" dataDxfId="140"/>
    <x:tableColumn id="6" name="Stop" dataDxfId="139"/>
    <x:tableColumn id="7" name="Connected" dataDxfId="138"/>
    <x:tableColumn id="8" name="PipelineObserved" dataDxfId="137"/>
    <x:tableColumn id="9" name="Exception" dataDxfId="136"/>
    <x:tableColumn id="10" name="ResourceOpenAfterStop" dataDxfId="135"/>
    <x:tableColumn id="11" name="AnyMovement" dataDxfId="134"/>
    <x:tableColumn id="12" name="EvidenceRef" dataDxfId="133"/>
    <x:tableColumn id="13" name="Status" dataDxfId="132">
      <x:calculatedColumnFormula>IF(COUNTA(D5:K5)=0,"NOT_RUN",IF(OR(K5="YES",I5="YES",J5="YES"),"FAIL",IF(AND(D5="YES",E5="YES",F5="YES",G5="YES",H5=0,I5="NO",J5="NO",K5="NO"),"PASS","BLOCKED")))</x:calculatedColumnFormula>
    </x:tableColumn>
    <x:tableColumn id="14" name="Notes" dataDxfId="131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gObservationsTable" displayName="TagObservationsTable" ref="A4:V44" totalsRowShown="0" dataDxfId="128" headerRowBorderDxfId="129">
  <x:autoFilter ref="A4:V44"/>
  <x:tableColumns count="22">
    <x:tableColumn id="1" name="AttemptId" dataDxfId="125"/>
    <x:tableColumn id="2" name="ConfigRevision" dataDxfId="124"/>
    <x:tableColumn id="3" name="TagId" dataDxfId="123"/>
    <x:tableColumn id="4" name="Alliance" dataDxfId="122"/>
    <x:tableColumn id="5" name="ExpectedTag" dataDxfId="121"/>
    <x:tableColumn id="6" name="TxDeg" dataDxfId="120"/>
    <x:tableColumn id="7" name="TyDeg" dataDxfId="119"/>
    <x:tableColumn id="8" name="AreaPct" dataDxfId="118"/>
    <x:tableColumn id="9" name="StalenessMs" dataDxfId="117"/>
    <x:tableColumn id="10" name="TargetLatencyMs" dataDxfId="116"/>
    <x:tableColumn id="11" name="CaptureLatencyMs" dataDxfId="115"/>
    <x:tableColumn id="12" name="TotalLatencyMs" dataDxfId="114"/>
    <x:tableColumn id="13" name="TagCount" dataDxfId="113"/>
    <x:tableColumn id="14" name="BotPoseAvailable" dataDxfId="112"/>
    <x:tableColumn id="15" name="BotX" dataDxfId="111"/>
    <x:tableColumn id="16" name="BotY" dataDxfId="110"/>
    <x:tableColumn id="17" name="BotZ" dataDxfId="109"/>
    <x:tableColumn id="18" name="BotYawDeg" dataDxfId="108"/>
    <x:tableColumn id="19" name="Finite" dataDxfId="107"/>
    <x:tableColumn id="20" name="Quality" dataDxfId="106"/>
    <x:tableColumn id="21" name="RejectionReason" dataDxfId="105"/>
    <x:tableColumn id="22" name="EvidenceRef" dataDxfId="104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aultsTable" displayName="FaultsTable" ref="A4:L12" totalsRowShown="0" dataDxfId="101" headerRowBorderDxfId="102">
  <x:autoFilter ref="A4:L12"/>
  <x:tableColumns count="12">
    <x:tableColumn id="1" name="TestId" dataDxfId="98"/>
    <x:tableColumn id="2" name="Case" dataDxfId="97"/>
    <x:tableColumn id="3" name="ExpectedQuality" dataDxfId="96"/>
    <x:tableColumn id="4" name="ObservedQuality" dataDxfId="95"/>
    <x:tableColumn id="5" name="ActionableValuesZero" dataDxfId="94"/>
    <x:tableColumn id="6" name="AnyMovement" dataDxfId="93"/>
    <x:tableColumn id="7" name="Exception" dataDxfId="92"/>
    <x:tableColumn id="8" name="Recovered" dataDxfId="91"/>
    <x:tableColumn id="9" name="EvidenceRef" dataDxfId="90"/>
    <x:tableColumn id="10" name="Status" dataDxfId="89">
      <x:calculatedColumnFormula>IF(COUNTA(D5:I5)=0,"NOT_RUN",IF(OR(E5&lt;&gt;"YES",F5&lt;&gt;"NO",G5&lt;&gt;"NO"),"FAIL",IF(AND(D5&lt;&gt;"",H5="YES",I5&lt;&gt;""),"PASS","BLOCKED")))</x:calculatedColumnFormula>
    </x:tableColumn>
    <x:tableColumn id="11" name="AbortReason" dataDxfId="88"/>
    <x:tableColumn id="12" name="Notes" dataDxfId="87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ticPoseTable" displayName="StaticPoseTable" ref="A4:Q24" totalsRowShown="0" dataDxfId="84" headerRowBorderDxfId="85">
  <x:autoFilter ref="A4:Q24"/>
  <x:tableColumns count="17">
    <x:tableColumn id="1" name="AttemptId" dataDxfId="81"/>
    <x:tableColumn id="2" name="ConfigRevision" dataDxfId="80"/>
    <x:tableColumn id="3" name="TagId" dataDxfId="79"/>
    <x:tableColumn id="4" name="PhysicalXIn" dataDxfId="78"/>
    <x:tableColumn id="5" name="PhysicalYIn" dataDxfId="77"/>
    <x:tableColumn id="6" name="PhysicalHeadingDeg" dataDxfId="76"/>
    <x:tableColumn id="7" name="LimelightXIn" dataDxfId="75"/>
    <x:tableColumn id="8" name="LimelightYIn" dataDxfId="74"/>
    <x:tableColumn id="9" name="LimelightHeadingDeg" dataDxfId="73"/>
    <x:tableColumn id="10" name="ResidualXIn" dataDxfId="72">
      <x:calculatedColumnFormula>IF(OR(D5="",G5=""),"",G5-D5)</x:calculatedColumnFormula>
    </x:tableColumn>
    <x:tableColumn id="11" name="ResidualYIn" dataDxfId="71">
      <x:calculatedColumnFormula>IF(OR(E5="",H5=""),"",H5-E5)</x:calculatedColumnFormula>
    </x:tableColumn>
    <x:tableColumn id="12" name="ResidualDistanceIn" dataDxfId="70">
      <x:calculatedColumnFormula>IF(OR(J5="",K5=""),"",SQRT(J5^2+K5^2))</x:calculatedColumnFormula>
    </x:tableColumn>
    <x:tableColumn id="13" name="ResidualHeadingDeg" dataDxfId="69">
      <x:calculatedColumnFormula>IF(OR(F5="",I5=""),"",MOD(I5-F5+180,360)-180)</x:calculatedColumnFormula>
    </x:tableColumn>
    <x:tableColumn id="14" name="StalenessMs" dataDxfId="68"/>
    <x:tableColumn id="15" name="EvidenceRef" dataDxfId="67"/>
    <x:tableColumn id="16" name="Status" dataDxfId="66"/>
    <x:tableColumn id="17" name="Notes" dataDxfId="65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hotDatasetTable" displayName="ShotDatasetTable" ref="A4:V64" totalsRowShown="0" dataDxfId="62" headerRowBorderDxfId="63">
  <x:autoFilter ref="A4:V64"/>
  <x:tableColumns count="22">
    <x:tableColumn id="1" name="sessionId" dataDxfId="59"/>
    <x:tableColumn id="2" name="distanceGroupId" dataDxfId="58"/>
    <x:tableColumn id="3" name="modelKind" dataDxfId="57"/>
    <x:tableColumn id="4" name="role" dataDxfId="56"/>
    <x:tableColumn id="5" name="distanceInches" dataDxfId="55"/>
    <x:tableColumn id="6" name="targetRpm" dataDxfId="54"/>
    <x:tableColumn id="7" name="measuredRpmAtFeed" dataDxfId="53"/>
    <x:tableColumn id="8" name="rpmReadyHoldMs" dataDxfId="52"/>
    <x:tableColumn id="9" name="outcome" dataDxfId="51"/>
    <x:tableColumn id="10" name="AttemptId" dataDxfId="50"/>
    <x:tableColumn id="11" name="ConfigRevision" dataDxfId="49"/>
    <x:tableColumn id="12" name="Position" dataDxfId="48"/>
    <x:tableColumn id="13" name="BatteryId" dataDxfId="47"/>
    <x:tableColumn id="14" name="FusedXIn" dataDxfId="46"/>
    <x:tableColumn id="15" name="FusedYIn" dataDxfId="45"/>
    <x:tableColumn id="16" name="FusedHeadingDeg" dataDxfId="44"/>
    <x:tableColumn id="17" name="TurretErrorDeg" dataDxfId="43"/>
    <x:tableColumn id="18" name="ArtifactBatch" dataDxfId="42"/>
    <x:tableColumn id="19" name="EvidenceRef" dataDxfId="41"/>
    <x:tableColumn id="20" name="Notes" dataDxfId="40"/>
    <x:tableColumn id="21" name="RpmError" dataDxfId="39">
      <x:calculatedColumnFormula>IF(OR(F5="",G5=""),"",ABS(G5-F5))</x:calculatedColumnFormula>
    </x:tableColumn>
    <x:tableColumn id="22" name="ReadyGate" dataDxfId="38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hotDatasetExportTable" displayName="ShotDatasetExportTable" ref="A4:I64" totalsRowShown="0" dataDxfId="35" headerRowBorderDxfId="36">
  <x:autoFilter ref="A4:I64"/>
  <x:tableColumns count="9">
    <x:tableColumn id="1" name="#sessionId" dataDxfId="32">
      <x:calculatedColumnFormula>IF(SHOT_DATASET!A5="","",SHOT_DATASET!A5)</x:calculatedColumnFormula>
    </x:tableColumn>
    <x:tableColumn id="2" name="distanceGroupId" dataDxfId="31">
      <x:calculatedColumnFormula>IF(SHOT_DATASET!A5="","",SHOT_DATASET!B5)</x:calculatedColumnFormula>
    </x:tableColumn>
    <x:tableColumn id="3" name="modelKind" dataDxfId="30">
      <x:calculatedColumnFormula>IF(SHOT_DATASET!A5="","",SHOT_DATASET!C5)</x:calculatedColumnFormula>
    </x:tableColumn>
    <x:tableColumn id="4" name="role" dataDxfId="29">
      <x:calculatedColumnFormula>IF(SHOT_DATASET!A5="","",SHOT_DATASET!D5)</x:calculatedColumnFormula>
    </x:tableColumn>
    <x:tableColumn id="5" name="distanceInches" dataDxfId="28">
      <x:calculatedColumnFormula>IF(SHOT_DATASET!A5="","",SHOT_DATASET!E5)</x:calculatedColumnFormula>
    </x:tableColumn>
    <x:tableColumn id="6" name="targetRpm" dataDxfId="27">
      <x:calculatedColumnFormula>IF(SHOT_DATASET!A5="","",SHOT_DATASET!F5)</x:calculatedColumnFormula>
    </x:tableColumn>
    <x:tableColumn id="7" name="measuredRpmAtFeed" dataDxfId="26">
      <x:calculatedColumnFormula>IF(SHOT_DATASET!A5="","",SHOT_DATASET!G5)</x:calculatedColumnFormula>
    </x:tableColumn>
    <x:tableColumn id="8" name="rpmReadyHoldMs" dataDxfId="25">
      <x:calculatedColumnFormula>IF(SHOT_DATASET!A5="","",SHOT_DATASET!H5)</x:calculatedColumnFormula>
    </x:tableColumn>
    <x:tableColumn id="9" name="outcome" dataDxfId="24">
      <x:calculatedColumnFormula>IF(SHOT_DATASET!A5="","",SHOT_DATASET!I5)</x:calculatedColumnFormula>
    </x:tableColumn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QaTable" displayName="QaTable" ref="A4:E15" totalsRowShown="0" dataDxfId="201" headerRowBorderDxfId="202">
  <x:autoFilter ref="A4:E15"/>
  <x:tableColumns count="5">
    <x:tableColumn id="1" name="CheckId" dataDxfId="198"/>
    <x:tableColumn id="2" name="Layer" dataDxfId="197"/>
    <x:tableColumn id="3" name="Check" dataDxfId="196"/>
    <x:tableColumn id="4" name="Status" dataDxfId="195"/>
    <x:tableColumn id="5" name="Evidence" dataDxfId="194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28d326b9084f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8168b26e184b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7bbdfc810f43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c6dfe42c7e94a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172fa9facbe45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9ab2ad8e8d649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cdaaec92c534d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314ea4a8b57344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a7bfac79924f0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17f53afb42f430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eab28e58d44c41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RowHeight="14.399999618530273"/>
  <x:cols>
    <x:col min="1" max="1" width="36.77734375" customWidth="1"/>
    <x:col min="2" max="2" width="78.77734375" customWidth="1"/>
  </x:cols>
  <x:sheetData>
    <x:row r="1" ht="30" customHeight="1">
      <x:c r="A1" s="19" t="s">
        <x:v>0</x:v>
      </x:c>
      <x:c r="B1" s="19"/>
      <x:c r="C1" s="19"/>
      <x:c r="D1" s="19"/>
      <x:c r="E1" s="19"/>
      <x:c r="F1" s="19"/>
      <x:c r="G1" s="19"/>
      <x:c r="H1" s="19"/>
    </x:row>
    <x:row r="2" ht="36" customHeight="1">
      <x:c r="A2" s="20" t="s">
        <x:v>1</x:v>
      </x:c>
      <x:c r="B2" s="20"/>
      <x:c r="C2" s="20"/>
      <x:c r="D2" s="20"/>
      <x:c r="E2" s="20"/>
      <x:c r="F2" s="20"/>
      <x:c r="G2" s="20"/>
      <x:c r="H2" s="20"/>
    </x:row>
    <x:row r="4" ht="31.950000762939453" customHeight="1">
      <x:c r="A4" s="21" t="s">
        <x:v>2</x:v>
      </x:c>
      <x:c r="B4" s="21"/>
      <x:c r="C4" s="21"/>
      <x:c r="D4" s="21"/>
      <x:c r="E4" s="21"/>
      <x:c r="F4" s="21"/>
      <x:c r="G4" s="21"/>
      <x:c r="H4" s="21"/>
    </x:row>
    <x:row r="5">
      <x:c r="A5" s="2">
        <x:v>1</x:v>
      </x:c>
      <x:c r="B5" s="2" t="s">
        <x:v>3</x:v>
      </x:c>
    </x:row>
    <x:row r="6">
      <x:c r="A6" s="2">
        <x:v>2</x:v>
      </x:c>
      <x:c r="B6" s="2" t="s">
        <x:v>4</x:v>
      </x:c>
    </x:row>
    <x:row r="7">
      <x:c r="A7" s="2">
        <x:v>3</x:v>
      </x:c>
      <x:c r="B7" s="2" t="s">
        <x:v>5</x:v>
      </x:c>
    </x:row>
    <x:row r="8">
      <x:c r="A8" s="2">
        <x:v>4</x:v>
      </x:c>
      <x:c r="B8" s="2" t="s">
        <x:v>6</x:v>
      </x:c>
    </x:row>
    <x:row r="9">
      <x:c r="A9" s="2">
        <x:v>5</x:v>
      </x:c>
      <x:c r="B9" s="2" t="s">
        <x:v>7</x:v>
      </x:c>
    </x:row>
    <x:row r="10">
      <x:c r="A10" s="2">
        <x:v>6</x:v>
      </x:c>
      <x:c r="B10" s="2" t="s">
        <x:v>8</x:v>
      </x:c>
    </x:row>
    <x:row r="11">
      <x:c r="A11" s="2">
        <x:v>7</x:v>
      </x:c>
      <x:c r="B11" s="2" t="s">
        <x:v>9</x:v>
      </x:c>
    </x:row>
    <x:row r="12">
      <x:c r="A12" s="2">
        <x:v>8</x:v>
      </x:c>
      <x:c r="B12" s="2" t="s">
        <x:v>10</x:v>
      </x:c>
    </x:row>
    <x:row r="14">
      <x:c r="A14" s="22" t="s">
        <x:v>11</x:v>
      </x:c>
      <x:c r="B14" s="22"/>
      <x:c r="C14" s="22"/>
      <x:c r="D14" s="22"/>
      <x:c r="E14" s="22"/>
      <x:c r="F14" s="22"/>
      <x:c r="G14" s="22"/>
      <x:c r="H14" s="22"/>
    </x:row>
    <x:row r="15">
      <x:c r="A15" s="2" t="s">
        <x:v>12</x:v>
      </x:c>
      <x:c r="B15" s="2" t="s">
        <x:v>13</x:v>
      </x:c>
    </x:row>
    <x:row r="16">
      <x:c r="A16" s="2" t="s">
        <x:v>14</x:v>
      </x:c>
      <x:c r="B16" s="2" t="s">
        <x:v>15</x:v>
      </x:c>
    </x:row>
    <x:row r="17">
      <x:c r="A17" s="2" t="s">
        <x:v>16</x:v>
      </x:c>
      <x:c r="B17" s="2" t="s">
        <x:v>17</x:v>
      </x:c>
    </x:row>
    <x:row r="18">
      <x:c r="A18" s="2" t="s">
        <x:v>18</x:v>
      </x:c>
      <x:c r="B18" s="2" t="s">
        <x:v>19</x:v>
      </x:c>
    </x:row>
    <x:row r="20">
      <x:c r="A20" s="23" t="s">
        <x:v>20</x:v>
      </x:c>
      <x:c r="B20" s="23"/>
      <x:c r="C20" s="23"/>
      <x:c r="D20" s="23"/>
      <x:c r="E20" s="23"/>
      <x:c r="F20" s="23"/>
      <x:c r="G20" s="23"/>
      <x:c r="H20" s="23"/>
    </x:row>
  </x:sheetData>
  <x:mergeCells>
    <x:mergeCell ref="A1:H1"/>
    <x:mergeCell ref="A2:H2"/>
    <x:mergeCell ref="A4:H4"/>
    <x:mergeCell ref="A14:H14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RowHeight="14.399999618530273"/>
  <x:cols>
    <x:col min="1" max="1" width="26.77734375" customWidth="1"/>
    <x:col min="2" max="2" width="70.77734375" customWidth="1"/>
    <x:col min="3" max="3" width="48.77734375" customWidth="1"/>
    <x:col min="4" max="4" width="18.77734375" customWidth="1"/>
  </x:cols>
  <x:sheetData>
    <x:row r="1" ht="30" customHeight="1">
      <x:c r="A1" s="19" t="s">
        <x:v>21</x:v>
      </x:c>
      <x:c r="B1" s="19"/>
      <x:c r="C1" s="19"/>
      <x:c r="D1" s="19"/>
      <x:c r="E1" s="19"/>
      <x:c r="F1" s="19"/>
    </x:row>
    <x:row r="2" ht="36" customHeight="1">
      <x:c r="A2" s="20" t="s">
        <x:v>22</x:v>
      </x:c>
      <x:c r="B2" s="20"/>
      <x:c r="C2" s="20"/>
      <x:c r="D2" s="20"/>
      <x:c r="E2" s="20"/>
      <x:c r="F2" s="20"/>
    </x:row>
    <x:row r="4" ht="31.950000762939453" customHeight="1">
      <x:c r="A4" s="7" t="s">
        <x:v>23</x:v>
      </x:c>
      <x:c r="B4" s="8" t="s">
        <x:v>24</x:v>
      </x:c>
      <x:c r="C4" s="8" t="s">
        <x:v>25</x:v>
      </x:c>
      <x:c r="D4" s="8" t="s">
        <x:v>26</x:v>
      </x:c>
    </x:row>
    <x:row r="5">
      <x:c r="A5" s="6" t="s">
        <x:v>27</x:v>
      </x:c>
      <x:c r="B5" s="2">
        <x:v>1</x:v>
      </x:c>
      <x:c r="C5" s="5" t="s">
        <x:v>28</x:v>
      </x:c>
      <x:c r="D5" s="5"/>
    </x:row>
    <x:row r="6">
      <x:c r="A6" s="6" t="s">
        <x:v>29</x:v>
      </x:c>
      <x:c r="B6" s="2">
        <x:v>1</x:v>
      </x:c>
      <x:c r="C6" s="5" t="s">
        <x:v>28</x:v>
      </x:c>
      <x:c r="D6" s="5"/>
    </x:row>
    <x:row r="7">
      <x:c r="A7" s="6" t="s">
        <x:v>30</x:v>
      </x:c>
      <x:c r="B7" s="2" t="s">
        <x:v>31</x:v>
      </x:c>
      <x:c r="C7" s="5" t="s">
        <x:v>28</x:v>
      </x:c>
      <x:c r="D7" s="5"/>
    </x:row>
    <x:row r="8">
      <x:c r="A8" s="6" t="s">
        <x:v>32</x:v>
      </x:c>
      <x:c r="B8" s="2">
        <x:v>1</x:v>
      </x:c>
      <x:c r="C8" s="5" t="s">
        <x:v>28</x:v>
      </x:c>
      <x:c r="D8" s="5"/>
    </x:row>
    <x:row r="9" ht="28.799999237060547">
      <x:c r="A9" s="6" t="s">
        <x:v>33</x:v>
      </x:c>
      <x:c r="B9" s="2" t="str">
        <x:v>MP03-20260722-A</x:v>
      </x:c>
      <x:c r="C9" s="5" t="s">
        <x:v>34</x:v>
      </x:c>
      <x:c r="D9" s="5" t="s">
        <x:v>35</x:v>
      </x:c>
    </x:row>
    <x:row r="10" ht="28.799999237060547">
      <x:c r="A10" s="6" t="s">
        <x:v>36</x:v>
      </x:c>
      <x:c r="B10" s="2" t="str">
        <x:v>2026-07-22</x:v>
      </x:c>
      <x:c r="C10" s="5" t="s">
        <x:v>37</x:v>
      </x:c>
      <x:c r="D10" s="5" t="s">
        <x:v>35</x:v>
      </x:c>
    </x:row>
    <x:row r="11">
      <x:c r="A11" s="6" t="s">
        <x:v>38</x:v>
      </x:c>
      <x:c r="B11" s="2" t="str">
        <x:v>20:19</x:v>
      </x:c>
      <x:c r="C11" s="5" t="s">
        <x:v>39</x:v>
      </x:c>
      <x:c r="D11" s="5" t="s">
        <x:v>35</x:v>
      </x:c>
    </x:row>
    <x:row r="12">
      <x:c r="A12" s="6" t="s">
        <x:v>40</x:v>
      </x:c>
      <x:c r="B12" s="2" t="str">
        <x:v>Taller de robótica</x:v>
      </x:c>
      <x:c r="C12" s="5"/>
      <x:c r="D12" s="5" t="s">
        <x:v>35</x:v>
      </x:c>
    </x:row>
    <x:row r="13">
      <x:c r="A13" s="6" t="s">
        <x:v>41</x:v>
      </x:c>
      <x:c r="B13" s="2" t="str">
        <x:v>Demian</x:v>
      </x:c>
      <x:c r="C13" s="5"/>
      <x:c r="D13" s="5" t="s">
        <x:v>35</x:v>
      </x:c>
    </x:row>
    <x:row r="14">
      <x:c r="A14" s="6" t="s">
        <x:v>42</x:v>
      </x:c>
      <x:c r="B14" s="2" t="str">
        <x:v>Demian</x:v>
      </x:c>
      <x:c r="C14" s="5"/>
      <x:c r="D14" s="5" t="s">
        <x:v>35</x:v>
      </x:c>
    </x:row>
    <x:row r="15">
      <x:c r="A15" s="6" t="s">
        <x:v>43</x:v>
      </x:c>
      <x:c r="B15" s="2" t="str">
        <x:v>Mili</x:v>
      </x:c>
      <x:c r="C15" s="5"/>
      <x:c r="D15" s="5" t="s">
        <x:v>35</x:v>
      </x:c>
    </x:row>
    <x:row r="16">
      <x:c r="A16" s="6" t="s">
        <x:v>44</x:v>
      </x:c>
      <x:c r="B16" s="2" t="str">
        <x:v>Demian</x:v>
      </x:c>
      <x:c r="C16" s="5"/>
      <x:c r="D16" s="5" t="s">
        <x:v>35</x:v>
      </x:c>
    </x:row>
    <x:row r="17">
      <x:c r="A17" s="6" t="s">
        <x:v>45</x:v>
      </x:c>
      <x:c r="B17" s="2" t="str">
        <x:v>533efbab6490184faa961d57aca7f27971246fcf</x:v>
      </x:c>
      <x:c r="C17" s="5" t="s">
        <x:v>46</x:v>
      </x:c>
      <x:c r="D17" s="5" t="s">
        <x:v>35</x:v>
      </x:c>
    </x:row>
    <x:row r="18">
      <x:c r="A18" s="6" t="s">
        <x:v>47</x:v>
      </x:c>
      <x:c r="B18" s="2" t="str">
        <x:v>585E6F11A3FA3FFCBE75F079021B3D1169B482212C5AFEC499530D1B36572E69</x:v>
      </x:c>
      <x:c r="C18" s="5" t="s">
        <x:v>48</x:v>
      </x:c>
      <x:c r="D18" s="5" t="s">
        <x:v>35</x:v>
      </x:c>
    </x:row>
    <x:row r="19" ht="43.20000076293945">
      <x:c r="A19" s="6" t="s">
        <x:v>49</x:v>
      </x:c>
      <x:c r="B19" s="2" t="str">
        <x:v>R4</x:v>
      </x:c>
      <x:c r="C19" s="5" t="s">
        <x:v>50</x:v>
      </x:c>
      <x:c r="D19" s="5" t="s">
        <x:v>35</x:v>
      </x:c>
    </x:row>
    <x:row r="20">
      <x:c r="A20" s="6" t="s">
        <x:v>51</x:v>
      </x:c>
      <x:c r="B20" s="2" t="str">
        <x:v>Skywalker</x:v>
      </x:c>
      <x:c r="C20" s="5" t="s">
        <x:v>52</x:v>
      </x:c>
      <x:c r="D20" s="5" t="s">
        <x:v>35</x:v>
      </x:c>
    </x:row>
    <x:row r="21">
      <x:c r="A21" s="6" t="s">
        <x:v>53</x:v>
      </x:c>
      <x:c r="B21" s="2" t="str">
        <x:v>Batería 2</x:v>
      </x:c>
      <x:c r="C21" s="5"/>
      <x:c r="D21" s="5" t="s">
        <x:v>35</x:v>
      </x:c>
    </x:row>
    <x:row r="22">
      <x:c r="A22" s="6" t="s">
        <x:v>54</x:v>
      </x:c>
      <x:c r="B22" s="2" t="n">
        <x:v>13.63</x:v>
      </x:c>
      <x:c r="C22" s="5" t="s">
        <x:v>55</x:v>
      </x:c>
      <x:c r="D22" s="5" t="s">
        <x:v>35</x:v>
      </x:c>
    </x:row>
    <x:row r="23" ht="28.799999237060547">
      <x:c r="A23" s="6" t="s">
        <x:v>56</x:v>
      </x:c>
      <x:c r="B23" s="2" t="str">
        <x:v>0DDB0DD1AB23710C672D556C0201334FCEC05CD4DEA191E564B11009BD458A1F</x:v>
      </x:c>
      <x:c r="C23" s="5" t="s">
        <x:v>57</x:v>
      </x:c>
      <x:c r="D23" s="5" t="s">
        <x:v>35</x:v>
      </x:c>
    </x:row>
    <x:row r="24">
      <x:c r="A24" s="6" t="s">
        <x:v>58</x:v>
      </x:c>
      <x:c r="B24" s="2" t="str">
        <x:v>A503E25A94F652ED70F6D6504E429C51C97B4A347787C0C2AB7B3689D8EE8693</x:v>
      </x:c>
      <x:c r="C24" s="5" t="s">
        <x:v>59</x:v>
      </x:c>
      <x:c r="D24" s="5" t="s">
        <x:v>35</x:v>
      </x:c>
    </x:row>
    <x:row r="25">
      <x:c r="A25" s="6" t="s">
        <x:v>60</x:v>
      </x:c>
      <x:c r="B25" s="2" t="str">
        <x:v>Interior; luces LED encendidas; foco/luz natural; iluminación algo baja</x:v>
      </x:c>
      <x:c r="C25" s="5"/>
      <x:c r="D25" s="5"/>
    </x:row>
    <x:row r="26">
      <x:c r="A26" s="6" t="s">
        <x:v>61</x:v>
      </x:c>
      <x:c r="B26" s="2" t="str">
        <x:v>APK diagnóstico instalado por ADB con resultado Success. Sólo OpMode Limelight Diagnostic. Configuración vigente R4: Exposure=3300, Sensor Gain=45, Black Level=0, Red/Blue=1280/1500; pipeline build/mp03-evidence/pipeline-R4-0DDB0DD1.vpr. Robot sobre soportes, sin piezas, área despejada y Stop/E-stop atendido por Mili. Batería 2=13.63 V. Resultado observado: Config PASS; Tags PASS; Lifecycle R4 3/5; Faults FLT-01..07 PASS, FLT-08 BLOCKED; StaticPose NOT_RUN; SHOT_DATASET vacío. Decisión posterior del test lead: MP-03 aceptado excepcionalmente para avanzar al siguiente bloque del plan, conservando estas salvedades. El DASHBOARD permanece BLOCKED por fórmula y no se interpreta como 5/5 u 8/8 ejecutados.</x:v>
      </x:c>
      <x:c r="C26" s="5"/>
      <x:c r="D26" s="5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f28d326b9084fd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18.77734375" defaultRowHeight="14.399999618530273"/>
  <x:cols>
    <x:col min="6" max="7" width="28.77734375" customWidth="1"/>
    <x:col min="9" max="9" width="40.77734375" customWidth="1"/>
  </x:cols>
  <x:sheetData>
    <x:row r="1" ht="30" customHeight="1">
      <x:c r="A1" s="19" t="s">
        <x:v>62</x:v>
      </x:c>
      <x:c r="B1" s="19"/>
      <x:c r="C1" s="19"/>
      <x:c r="D1" s="19"/>
      <x:c r="E1" s="19"/>
      <x:c r="F1" s="19"/>
      <x:c r="G1" s="19"/>
      <x:c r="H1" s="19"/>
      <x:c r="I1" s="19"/>
    </x:row>
    <x:row r="2" ht="36" customHeight="1">
      <x:c r="A2" s="20" t="s">
        <x:v>63</x:v>
      </x:c>
      <x:c r="B2" s="20"/>
      <x:c r="C2" s="20"/>
      <x:c r="D2" s="20"/>
      <x:c r="E2" s="20"/>
      <x:c r="F2" s="20"/>
      <x:c r="G2" s="20"/>
      <x:c r="H2" s="20"/>
      <x:c r="I2" s="20"/>
    </x:row>
    <x:row r="4" ht="31.950000762939453" customHeight="1">
      <x:c r="A4" s="7" t="s">
        <x:v>64</x:v>
      </x:c>
      <x:c r="B4" s="8" t="s">
        <x:v>65</x:v>
      </x:c>
      <x:c r="C4" s="8" t="s">
        <x:v>66</x:v>
      </x:c>
      <x:c r="D4" s="8" t="s">
        <x:v>67</x:v>
      </x:c>
      <x:c r="E4" s="8" t="s">
        <x:v>68</x:v>
      </x:c>
      <x:c r="F4" s="8" t="s">
        <x:v>69</x:v>
      </x:c>
      <x:c r="G4" s="8" t="s">
        <x:v>70</x:v>
      </x:c>
      <x:c r="H4" s="8" t="s">
        <x:v>71</x:v>
      </x:c>
      <x:c r="I4" s="10" t="s">
        <x:v>72</x:v>
      </x:c>
    </x:row>
    <x:row r="5">
      <x:c r="A5" s="6" t="str">
        <x:v>CHG-01</x:v>
      </x:c>
      <x:c r="B5" s="2" t="str">
        <x:v>2026-07-22 20:25</x:v>
      </x:c>
      <x:c r="C5" s="2" t="str">
        <x:v>R1</x:v>
      </x:c>
      <x:c r="D5" s="2" t="str">
        <x:v>R2</x:v>
      </x:c>
      <x:c r="E5" s="2" t="str">
        <x:v>Pipeline / Field map</x:v>
      </x:c>
      <x:c r="F5" s="2" t="str">
        <x:v>Full 3D Targeting=No; fiducial_skip3d=1; mapa no verificado</x:v>
      </x:c>
      <x:c r="G5" s="2" t="str">
        <x:v>Full 3D Targeting=Yes; fiducial_skip3d=0; FMAP verificado (SHA A503E25A94F652ED70F6D6504E429C51C97B4A347787C0C2AB7B3689D8EE8693)</x:v>
      </x:c>
      <x:c r="H5" s="2" t="str">
        <x:v>LIFE-1</x:v>
      </x:c>
      <x:c r="I5" s="9" t="str">
        <x:v>Completar pose 3D y mapa 20/24 antes de INIT; sin consumidores de pose ni movimiento</x:v>
      </x:c>
    </x:row>
    <x:row r="6">
      <x:c r="A6" s="6" t="str">
        <x:v>CHG-02</x:v>
      </x:c>
      <x:c r="B6" s="2" t="str">
        <x:v>2026-07-22 20:38</x:v>
      </x:c>
      <x:c r="C6" s="2" t="str">
        <x:v>R2</x:v>
      </x:c>
      <x:c r="D6" s="2" t="str">
        <x:v>R3</x:v>
      </x:c>
      <x:c r="E6" s="2" t="str">
        <x:v>Extrínseca Limelight</x:v>
      </x:c>
      <x:c r="F6" s="2" t="str">
        <x:v>LL Forward=0; LL Right=0; LL Up=0; LL Roll=0; LL Pitch=0; LL Yaw=0</x:v>
      </x:c>
      <x:c r="G6" s="2" t="str">
        <x:v>LL Forward=0.13492 m; LL Right=0 m; LL Up=0.29363 m; LL Roll=0 deg; LL Pitch=30 deg; LL Yaw=0 deg; pipeline SHA 68D54644A7F92257BB45A08117782E6C29069EB34E059A4ED0A58AB685D4F645</x:v>
      </x:c>
      <x:c r="H6" s="2" t="str">
        <x:v>LIFE-1</x:v>
      </x:c>
      <x:c r="I6" s="9" t="str">
        <x:v>Aplicar la geometría física documentada antes de INIT; sin corrección de pose ni movimiento</x:v>
      </x:c>
    </x:row>
    <x:row r="7">
      <x:c r="A7" s="6" t="str">
        <x:v>CHG-03</x:v>
      </x:c>
      <x:c r="B7" s="2" t="str">
        <x:v>2026-07-22 20:53</x:v>
      </x:c>
      <x:c r="C7" s="2" t="str">
        <x:v>R3</x:v>
      </x:c>
      <x:c r="D7" s="2" t="str">
        <x:v>R3</x:v>
      </x:c>
      <x:c r="E7" s="2" t="str">
        <x:v>Batería pre-intento</x:v>
      </x:c>
      <x:c r="F7" s="2" t="str">
        <x:v>Batería 1; 12.41 V</x:v>
      </x:c>
      <x:c r="G7" s="2" t="str">
        <x:v>Batería 2; 13.63 V</x:v>
      </x:c>
      <x:c r="H7" s="2" t="str">
        <x:v>LIFE-1</x:v>
      </x:c>
      <x:c r="I7" s="9" t="str">
        <x:v>Sustitución antes de cualquier INIT/START; no cambia pipeline, mapa, montaje ni extrínseca</x:v>
      </x:c>
    </x:row>
    <x:row r="8">
      <x:c r="A8" s="6" t="str">
        <x:v>CHG-04</x:v>
      </x:c>
      <x:c r="B8" s="2" t="str">
        <x:v>2026-07-22 22:16</x:v>
      </x:c>
      <x:c r="C8" s="2" t="str">
        <x:v>R3</x:v>
      </x:c>
      <x:c r="D8" s="2" t="str">
        <x:v>R4</x:v>
      </x:c>
      <x:c r="E8" s="2" t="str">
        <x:v>Iluminación / Exposure / Gain</x:v>
      </x:c>
      <x:c r="F8" s="2" t="str">
        <x:v>Exposure=600; Sensor Gain=9; Black Level=0; Red/Blue=1280/1500; pipeline SHA 68D54644A7F92257BB45A08117782E6C29069EB34E059A4ED0A58AB685D4F645; detección intermitente</x:v>
      </x:c>
      <x:c r="G8" s="2" t="str">
        <x:v>Exposure=3300; Sensor Gain=45; Black Level=0; Red/Blue=1280/1500; pipeline SHA 0DDB0DD1AB23710C672D556C0201334FCEC05CD4DEA191E564B11009BD458A1F; tag 20 casi continuo por 30 s</x:v>
      </x:c>
      <x:c r="H8" s="2" t="str">
        <x:v>LIFE-1 (R4)</x:v>
      </x:c>
      <x:c r="I8" s="9" t="str">
        <x:v>Ajuste de iluminación permitido como diagnóstico. TAG-01 y LIFE-1..5 R3 permanecen históricos; no combinarlos con el gate R4.</x:v>
      </x:c>
    </x:row>
    <x:row r="9">
      <x:c r="A9" s="6" t="str">
        <x:v>CHG-05</x:v>
      </x:c>
      <x:c r="B9" s="2" t="str">
        <x:v>2026-07-22 22:30</x:v>
      </x:c>
      <x:c r="C9" s="2" t="str">
        <x:v>R4</x:v>
      </x:c>
      <x:c r="D9" s="2" t="str">
        <x:v>R4</x:v>
      </x:c>
      <x:c r="E9" s="2" t="str">
        <x:v>Desviación del plan de prueba</x:v>
      </x:c>
      <x:c r="F9" s="2" t="str">
        <x:v>Lifecycle requerido: 5 ciclos bajo la configuración vigente</x:v>
      </x:c>
      <x:c r="G9" s="2" t="str">
        <x:v>Test lead Demian autoriza avanzar después de 3 ciclos R4 PASS</x:v>
      </x:c>
      <x:c r="H9" s="2" t="str">
        <x:v>TAG-02</x:v>
      </x:c>
      <x:c r="I9" s="9" t="str">
        <x:v>No se alteran fórmulas ni se declara Lifecycle PASS: DASHBOARD permanece BLOCKED hasta completar 5/5 o revisión formal de la desviación.</x:v>
      </x:c>
    </x:row>
    <x:row r="10">
      <x:c r="A10" s="6" t="str">
        <x:v>CHG-06</x:v>
      </x:c>
      <x:c r="B10" s="2" t="str">
        <x:v>2026-07-22 22:43</x:v>
      </x:c>
      <x:c r="C10" s="2" t="str">
        <x:v>R4</x:v>
      </x:c>
      <x:c r="D10" s="2" t="str">
        <x:v>R4</x:v>
      </x:c>
      <x:c r="E10" s="2" t="str">
        <x:v>Disposición de criterio FLT-01</x:v>
      </x:c>
      <x:c r="F10" s="2" t="str">
        <x:v>Camera covered esperaba NO_TARGET or STALE; observado INVALID/RESULT_INVALID, fail-closed y recuperación correcta</x:v>
      </x:c>
      <x:c r="G10" s="2" t="str">
        <x:v>Test lead Demian acepta INVALID/RESULT_INVALID como rechazo fail-closed equivalente para FLT-01</x:v>
      </x:c>
      <x:c r="H10" s="2" t="str">
        <x:v>FLT-01</x:v>
      </x:c>
      <x:c r="I10" s="9" t="str">
        <x:v>No cambia código, pipeline ni fórmula. PASS se sustenta en valores accionables cero, sin pose, sin movimiento/excepción y recuperación VALID.</x:v>
      </x:c>
    </x:row>
    <x:row r="11">
      <x:c r="A11" s="6" t="str">
        <x:v>CHG-07</x:v>
      </x:c>
      <x:c r="B11" s="2" t="str">
        <x:v>2026-07-22 22:53</x:v>
      </x:c>
      <x:c r="C11" s="2" t="str">
        <x:v>R4</x:v>
      </x:c>
      <x:c r="D11" s="2" t="str">
        <x:v>R4</x:v>
      </x:c>
      <x:c r="E11" s="2" t="str">
        <x:v>Disposición de criterio FLT-04</x:v>
      </x:c>
      <x:c r="F11" s="2" t="str">
        <x:v>Wrong pipeline esperaba PIPELINE_MISMATCH/WRONG_PIPELINE; pipeline 1 sin resultado válido produjo INVALID y raw pipeline=-1</x:v>
      </x:c>
      <x:c r="G11" s="2" t="str">
        <x:v>Test lead Demian acepta INVALID/raw -1 como rechazo fail-closed equivalente; pipeline 0 recuperó VALID</x:v>
      </x:c>
      <x:c r="H11" s="2" t="str">
        <x:v>FLT-04</x:v>
      </x:c>
      <x:c r="I11" s="9" t="str">
        <x:v>No cambia código ni pipeline base R4. Sin movimiento/excepción; recuperación confirmada.</x:v>
      </x:c>
    </x:row>
    <x:row r="12">
      <x:c r="A12" s="6" t="str">
        <x:v>CHG-08</x:v>
      </x:c>
      <x:c r="B12" s="2" t="str">
        <x:v>2026-07-22 23:01</x:v>
      </x:c>
      <x:c r="C12" s="2" t="str">
        <x:v>R4</x:v>
      </x:c>
      <x:c r="D12" s="2" t="str">
        <x:v>R4</x:v>
      </x:c>
      <x:c r="E12" s="2" t="str">
        <x:v>Disposición de criterio FLT-07</x:v>
      </x:c>
      <x:c r="F12" s="2" t="str">
        <x:v>Restart Vision Client produjo INVALID, staleness máximo 20 ms, sin movimiento y recuperación VALID; no se indujo &gt;200 ms físicamente</x:v>
      </x:c>
      <x:c r="G12" s="2" t="str">
        <x:v>Test lead Demian autoriza PASS complementando evidencia física con prueba unitaria del gate STALE &gt; 200 ms</x:v>
      </x:c>
      <x:c r="H12" s="2" t="str">
        <x:v>FLT-07</x:v>
      </x:c>
      <x:c r="I12" s="9" t="str">
        <x:v>No cambia código, fórmula ni configuración base R4.</x:v>
      </x:c>
    </x:row>
    <x:row r="13">
      <x:c r="A13" s="6" t="str">
        <x:v>CHG-09</x:v>
      </x:c>
      <x:c r="B13" s="2" t="str">
        <x:v>2026-07-22 23:05</x:v>
      </x:c>
      <x:c r="C13" s="2" t="str">
        <x:v>R4</x:v>
      </x:c>
      <x:c r="D13" s="2" t="str">
        <x:v>R4</x:v>
      </x:c>
      <x:c r="E13" s="2" t="str">
        <x:v>Cierre de sesión de validación</x:v>
      </x:c>
      <x:c r="F13" s="2" t="str">
        <x:v>FLT-08 pendiente; StaticPose pendiente; Lifecycle R4 3/5</x:v>
      </x:c>
      <x:c r="G13" s="2" t="str">
        <x:v>Test lead detiene sesión física. Se conserva evidencia sin alterar fórmulas ni completar campos no observados.</x:v>
      </x:c>
      <x:c r="H13" s="2" t="str">
        <x:v>DASHBOARD</x:v>
      </x:c>
      <x:c r="I13" s="9" t="str">
        <x:v>MP-03 permanece BLOCKED y requiere revisión/continuación antes de habilitar cualquier consumidor de pose.</x:v>
      </x:c>
    </x:row>
    <x:row r="14">
      <x:c r="A14" s="6" t="str">
        <x:v>CHG-10</x:v>
      </x:c>
      <x:c r="B14" s="2" t="str">
        <x:v>2026-07-22 23:15</x:v>
      </x:c>
      <x:c r="C14" s="2" t="str">
        <x:v>R4</x:v>
      </x:c>
      <x:c r="D14" s="2" t="str">
        <x:v>R4</x:v>
      </x:c>
      <x:c r="E14" s="2" t="str">
        <x:v>Aceptación excepcional del test lead</x:v>
      </x:c>
      <x:c r="F14" s="2" t="str">
        <x:v>DASHBOARD MP-03=BLOCKED: Lifecycle 3/5; FLT-08 BLOCKED; StaticPose NOT_RUN</x:v>
      </x:c>
      <x:c r="G14" s="2" t="str">
        <x:v>Test lead Demian autoriza cerrar MP-03 y avanzar al siguiente bloque del plan con las salvedades visibles; no se alteran fórmulas ni resultados no ejecutados.</x:v>
      </x:c>
      <x:c r="H14" s="2" t="str">
        <x:v>REVIEW</x:v>
      </x:c>
      <x:c r="I14" s="9" t="str">
        <x:v>Aceptación humana por excepción. FLT-08 no fue inyectable desde la UI y no se considera escenario operativo de match por decisión del lead. StaticPose se difiere; antes de habilitar corrección de robotPose, MP-04 debe tratar hasBotPose=false como no utilizable y validar geometría/pose en shadow. Esta decisión no autoriza movimiento, auto-aim, shooter, feeder ni intake.</x:v>
      </x:c>
    </x:row>
    <x:row r="15">
      <x:c r="A15" s="6" t="s">
        <x:v>73</x:v>
      </x:c>
      <x:c r="B15" s="2"/>
      <x:c r="C15" s="2"/>
      <x:c r="D15" s="2"/>
      <x:c r="E15" s="2"/>
      <x:c r="F15" s="2"/>
      <x:c r="G15" s="2"/>
      <x:c r="H15" s="2"/>
      <x:c r="I15" s="9"/>
    </x:row>
    <x:row r="16">
      <x:c r="A16" s="6" t="s">
        <x:v>74</x:v>
      </x:c>
      <x:c r="B16" s="2"/>
      <x:c r="C16" s="2"/>
      <x:c r="D16" s="2"/>
      <x:c r="E16" s="2"/>
      <x:c r="F16" s="2"/>
      <x:c r="G16" s="2"/>
      <x:c r="H16" s="2"/>
      <x:c r="I16" s="9"/>
    </x:row>
    <x:row r="17">
      <x:c r="A17" s="6" t="s">
        <x:v>75</x:v>
      </x:c>
      <x:c r="B17" s="2"/>
      <x:c r="C17" s="2"/>
      <x:c r="D17" s="2"/>
      <x:c r="E17" s="2"/>
      <x:c r="F17" s="2"/>
      <x:c r="G17" s="2"/>
      <x:c r="H17" s="2"/>
      <x:c r="I17" s="9"/>
    </x:row>
    <x:row r="18">
      <x:c r="A18" s="6" t="s">
        <x:v>76</x:v>
      </x:c>
      <x:c r="B18" s="2"/>
      <x:c r="C18" s="2"/>
      <x:c r="D18" s="2"/>
      <x:c r="E18" s="2"/>
      <x:c r="F18" s="2"/>
      <x:c r="G18" s="2"/>
      <x:c r="H18" s="2"/>
      <x:c r="I18" s="9"/>
    </x:row>
    <x:row r="19">
      <x:c r="A19" s="6" t="s">
        <x:v>77</x:v>
      </x:c>
      <x:c r="B19" s="2"/>
      <x:c r="C19" s="2"/>
      <x:c r="D19" s="2"/>
      <x:c r="E19" s="2"/>
      <x:c r="F19" s="2"/>
      <x:c r="G19" s="2"/>
      <x:c r="H19" s="2"/>
      <x:c r="I19" s="9"/>
    </x:row>
    <x:row r="20">
      <x:c r="A20" s="6" t="s">
        <x:v>78</x:v>
      </x:c>
      <x:c r="B20" s="2"/>
      <x:c r="C20" s="2"/>
      <x:c r="D20" s="2"/>
      <x:c r="E20" s="2"/>
      <x:c r="F20" s="2"/>
      <x:c r="G20" s="2"/>
      <x:c r="H20" s="2"/>
      <x:c r="I20" s="9"/>
    </x:row>
    <x:row r="21">
      <x:c r="A21" s="6" t="s">
        <x:v>79</x:v>
      </x:c>
      <x:c r="B21" s="2"/>
      <x:c r="C21" s="2"/>
      <x:c r="D21" s="2"/>
      <x:c r="E21" s="2"/>
      <x:c r="F21" s="2"/>
      <x:c r="G21" s="2"/>
      <x:c r="H21" s="2"/>
      <x:c r="I21" s="9"/>
    </x:row>
    <x:row r="22">
      <x:c r="A22" s="6" t="s">
        <x:v>80</x:v>
      </x:c>
      <x:c r="B22" s="2"/>
      <x:c r="C22" s="2"/>
      <x:c r="D22" s="2"/>
      <x:c r="E22" s="2"/>
      <x:c r="F22" s="2"/>
      <x:c r="G22" s="2"/>
      <x:c r="H22" s="2"/>
      <x:c r="I22" s="9"/>
    </x:row>
    <x:row r="23">
      <x:c r="A23" s="6" t="s">
        <x:v>81</x:v>
      </x:c>
      <x:c r="B23" s="2"/>
      <x:c r="C23" s="2"/>
      <x:c r="D23" s="2"/>
      <x:c r="E23" s="2"/>
      <x:c r="F23" s="2"/>
      <x:c r="G23" s="2"/>
      <x:c r="H23" s="2"/>
      <x:c r="I23" s="9"/>
    </x:row>
    <x:row r="24">
      <x:c r="A24" s="6" t="s">
        <x:v>82</x:v>
      </x:c>
      <x:c r="B24" s="2"/>
      <x:c r="C24" s="2"/>
      <x:c r="D24" s="2"/>
      <x:c r="E24" s="2"/>
      <x:c r="F24" s="2"/>
      <x:c r="G24" s="2"/>
      <x:c r="H24" s="2"/>
      <x:c r="I24" s="9"/>
    </x:row>
    <x:row r="25">
      <x:c r="A25" s="6" t="s">
        <x:v>83</x:v>
      </x:c>
      <x:c r="B25" s="2"/>
      <x:c r="C25" s="2"/>
      <x:c r="D25" s="2"/>
      <x:c r="E25" s="2"/>
      <x:c r="F25" s="2"/>
      <x:c r="G25" s="2"/>
      <x:c r="H25" s="2"/>
      <x:c r="I25" s="9"/>
    </x:row>
    <x:row r="26">
      <x:c r="A26" s="6" t="s">
        <x:v>84</x:v>
      </x:c>
      <x:c r="B26" s="2"/>
      <x:c r="C26" s="2"/>
      <x:c r="D26" s="2"/>
      <x:c r="E26" s="2"/>
      <x:c r="F26" s="2"/>
      <x:c r="G26" s="2"/>
      <x:c r="H26" s="2"/>
      <x:c r="I26" s="9"/>
    </x:row>
    <x:row r="27">
      <x:c r="A27" s="6" t="s">
        <x:v>85</x:v>
      </x:c>
      <x:c r="B27" s="2"/>
      <x:c r="C27" s="2"/>
      <x:c r="D27" s="2"/>
      <x:c r="E27" s="2"/>
      <x:c r="F27" s="2"/>
      <x:c r="G27" s="2"/>
      <x:c r="H27" s="2"/>
      <x:c r="I27" s="9"/>
    </x:row>
    <x:row r="28">
      <x:c r="A28" s="6" t="s">
        <x:v>86</x:v>
      </x:c>
      <x:c r="B28" s="2"/>
      <x:c r="C28" s="2"/>
      <x:c r="D28" s="2"/>
      <x:c r="E28" s="2"/>
      <x:c r="F28" s="2"/>
      <x:c r="G28" s="2"/>
      <x:c r="H28" s="2"/>
      <x:c r="I28" s="9"/>
    </x:row>
    <x:row r="29">
      <x:c r="A29" s="6" t="s">
        <x:v>87</x:v>
      </x:c>
      <x:c r="B29" s="2"/>
      <x:c r="C29" s="2"/>
      <x:c r="D29" s="2"/>
      <x:c r="E29" s="2"/>
      <x:c r="F29" s="2"/>
      <x:c r="G29" s="2"/>
      <x:c r="H29" s="2"/>
      <x:c r="I29" s="9"/>
    </x:row>
    <x:row r="30">
      <x:c r="A30" s="6" t="s">
        <x:v>88</x:v>
      </x:c>
      <x:c r="B30" s="2"/>
      <x:c r="C30" s="2"/>
      <x:c r="D30" s="2"/>
      <x:c r="E30" s="2"/>
      <x:c r="F30" s="2"/>
      <x:c r="G30" s="2"/>
      <x:c r="H30" s="2"/>
      <x:c r="I30" s="9"/>
    </x:row>
    <x:row r="31">
      <x:c r="A31" s="6" t="s">
        <x:v>89</x:v>
      </x:c>
      <x:c r="B31" s="2"/>
      <x:c r="C31" s="2"/>
      <x:c r="D31" s="2"/>
      <x:c r="E31" s="2"/>
      <x:c r="F31" s="2"/>
      <x:c r="G31" s="2"/>
      <x:c r="H31" s="2"/>
      <x:c r="I31" s="9"/>
    </x:row>
    <x:row r="32">
      <x:c r="A32" s="6" t="s">
        <x:v>90</x:v>
      </x:c>
      <x:c r="B32" s="2"/>
      <x:c r="C32" s="2"/>
      <x:c r="D32" s="2"/>
      <x:c r="E32" s="2"/>
      <x:c r="F32" s="2"/>
      <x:c r="G32" s="2"/>
      <x:c r="H32" s="2"/>
      <x:c r="I32" s="9"/>
    </x:row>
    <x:row r="33">
      <x:c r="A33" s="6" t="s">
        <x:v>91</x:v>
      </x:c>
      <x:c r="B33" s="2"/>
      <x:c r="C33" s="2"/>
      <x:c r="D33" s="2"/>
      <x:c r="E33" s="2"/>
      <x:c r="F33" s="2"/>
      <x:c r="G33" s="2"/>
      <x:c r="H33" s="2"/>
      <x:c r="I33" s="9"/>
    </x:row>
    <x:row r="34">
      <x:c r="A34" s="11" t="s">
        <x:v>92</x:v>
      </x:c>
      <x:c r="B34" s="12"/>
      <x:c r="C34" s="12"/>
      <x:c r="D34" s="12"/>
      <x:c r="E34" s="12"/>
      <x:c r="F34" s="12"/>
      <x:c r="G34" s="12"/>
      <x:c r="H34" s="12"/>
      <x:c r="I34" s="13"/>
    </x:row>
  </x:sheetData>
  <x:mergeCells>
    <x:mergeCell ref="A1:I1"/>
    <x:mergeCell ref="A2:I2"/>
  </x:mergeCells>
  <x:dataValidations count="1">
    <x:dataValidation type="list" allowBlank="1" showInputMessage="1" showErrorMessage="1" sqref="E5:E34">
      <x:formula1>"""APK,PIPELINE,FIELD_MAP,EXTRINSIC,HARDWARE,PROCEDURE,OTHER"""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8168b26e184b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RowHeight="14.399999618530273"/>
  <x:cols>
    <x:col min="1" max="1" width="34.77734375" customWidth="1"/>
    <x:col min="2" max="2" width="15.77734375" customWidth="1"/>
    <x:col min="3" max="3" width="12.77734375" customWidth="1"/>
    <x:col min="4" max="4" width="42.77734375" customWidth="1"/>
    <x:col min="5" max="5" width="35.77734375" customWidth="1"/>
  </x:cols>
  <x:sheetData>
    <x:row r="1" ht="30" customHeight="1">
      <x:c r="A1" s="19" t="s">
        <x:v>93</x:v>
      </x:c>
      <x:c r="B1" s="19"/>
      <x:c r="C1" s="19"/>
      <x:c r="D1" s="19"/>
      <x:c r="E1" s="19"/>
      <x:c r="F1" s="19"/>
    </x:row>
    <x:row r="2" ht="36" customHeight="1">
      <x:c r="A2" s="20" t="s">
        <x:v>94</x:v>
      </x:c>
      <x:c r="B2" s="20"/>
      <x:c r="C2" s="20"/>
      <x:c r="D2" s="20"/>
      <x:c r="E2" s="20"/>
      <x:c r="F2" s="20"/>
    </x:row>
    <x:row r="4" ht="31.950000762939453" customHeight="1">
      <x:c r="A4" s="7" t="s">
        <x:v>95</x:v>
      </x:c>
      <x:c r="B4" s="8" t="s">
        <x:v>96</x:v>
      </x:c>
      <x:c r="C4" s="8" t="s">
        <x:v>97</x:v>
      </x:c>
      <x:c r="D4" s="8" t="s">
        <x:v>98</x:v>
      </x:c>
      <x:c r="E4" s="10" t="s">
        <x:v>99</x:v>
      </x:c>
    </x:row>
    <x:row r="5">
      <x:c r="A5" s="6" t="s">
        <x:v>100</x:v>
      </x:c>
      <x:c r="B5" s="4">
        <x:v>200</x:v>
      </x:c>
      <x:c r="C5" s="4" t="s">
        <x:v>101</x:v>
      </x:c>
      <x:c r="D5" s="4" t="s">
        <x:v>102</x:v>
      </x:c>
      <x:c r="E5" s="14" t="s">
        <x:v>103</x:v>
      </x:c>
    </x:row>
    <x:row r="6">
      <x:c r="A6" s="6" t="s">
        <x:v>104</x:v>
      </x:c>
      <x:c r="B6" s="4">
        <x:v>0</x:v>
      </x:c>
      <x:c r="C6" s="4" t="s">
        <x:v>105</x:v>
      </x:c>
      <x:c r="D6" s="4" t="s">
        <x:v>102</x:v>
      </x:c>
      <x:c r="E6" s="14" t="s">
        <x:v>106</x:v>
      </x:c>
    </x:row>
    <x:row r="7">
      <x:c r="A7" s="6" t="s">
        <x:v>107</x:v>
      </x:c>
      <x:c r="B7" s="4">
        <x:v>20</x:v>
      </x:c>
      <x:c r="C7" s="4" t="s">
        <x:v>108</x:v>
      </x:c>
      <x:c r="D7" s="4" t="s">
        <x:v>109</x:v>
      </x:c>
      <x:c r="E7" s="14" t="s">
        <x:v>110</x:v>
      </x:c>
    </x:row>
    <x:row r="8">
      <x:c r="A8" s="6" t="s">
        <x:v>111</x:v>
      </x:c>
      <x:c r="B8" s="4">
        <x:v>24</x:v>
      </x:c>
      <x:c r="C8" s="4" t="s">
        <x:v>108</x:v>
      </x:c>
      <x:c r="D8" s="4" t="s">
        <x:v>109</x:v>
      </x:c>
      <x:c r="E8" s="14" t="s">
        <x:v>112</x:v>
      </x:c>
    </x:row>
    <x:row r="9">
      <x:c r="A9" s="6" t="s">
        <x:v>113</x:v>
      </x:c>
      <x:c r="B9" s="4">
        <x:v>165.1</x:v>
      </x:c>
      <x:c r="C9" s="4" t="s">
        <x:v>114</x:v>
      </x:c>
      <x:c r="D9" s="4" t="s">
        <x:v>115</x:v>
      </x:c>
      <x:c r="E9" s="14" t="s">
        <x:v>116</x:v>
      </x:c>
    </x:row>
    <x:row r="10">
      <x:c r="A10" s="6" t="s">
        <x:v>117</x:v>
      </x:c>
      <x:c r="B10" s="4">
        <x:v>5</x:v>
      </x:c>
      <x:c r="C10" s="4" t="s">
        <x:v>118</x:v>
      </x:c>
      <x:c r="D10" s="4" t="s">
        <x:v>119</x:v>
      </x:c>
      <x:c r="E10" s="14" t="s">
        <x:v>120</x:v>
      </x:c>
    </x:row>
    <x:row r="11">
      <x:c r="A11" s="6" t="s">
        <x:v>121</x:v>
      </x:c>
      <x:c r="B11" s="4">
        <x:v>100</x:v>
      </x:c>
      <x:c r="C11" s="4" t="s">
        <x:v>122</x:v>
      </x:c>
      <x:c r="D11" s="4" t="s">
        <x:v>123</x:v>
      </x:c>
      <x:c r="E11" s="14" t="s">
        <x:v>124</x:v>
      </x:c>
    </x:row>
    <x:row r="12">
      <x:c r="A12" s="11" t="s">
        <x:v>125</x:v>
      </x:c>
      <x:c r="B12" s="15">
        <x:v>250</x:v>
      </x:c>
      <x:c r="C12" s="15" t="s">
        <x:v>101</x:v>
      </x:c>
      <x:c r="D12" s="15" t="s">
        <x:v>123</x:v>
      </x:c>
      <x:c r="E12" s="16" t="s">
        <x:v>124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d7bbdfc810f43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RowHeight="14.399999618530273"/>
  <x:cols>
    <x:col min="1" max="1" width="22.77734375" customWidth="1"/>
    <x:col min="3" max="3" width="22.77734375" customWidth="1"/>
    <x:col min="5" max="5" width="22.77734375" customWidth="1"/>
    <x:col min="7" max="7" width="22.77734375" customWidth="1"/>
    <x:col min="9" max="9" width="22.77734375" customWidth="1"/>
    <x:col min="11" max="11" width="22.77734375" customWidth="1"/>
  </x:cols>
  <x:sheetData>
    <x:row r="1" ht="30" customHeight="1">
      <x:c r="A1" s="19" t="s">
        <x:v>126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 ht="36" customHeight="1">
      <x:c r="A2" s="20" t="s">
        <x:v>127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4" ht="31.950000762939453" customHeight="1">
      <x:c r="A4" s="1" t="s">
        <x:v>128</x:v>
      </x:c>
      <x:c r="C4" s="1" t="s">
        <x:v>129</x:v>
      </x:c>
      <x:c r="E4" s="1" t="s">
        <x:v>130</x:v>
      </x:c>
      <x:c r="G4" s="1" t="s">
        <x:v>131</x:v>
      </x:c>
      <x:c r="I4" s="1" t="s">
        <x:v>132</x:v>
      </x:c>
      <x:c r="K4" s="1" t="s">
        <x:v>133</x:v>
      </x:c>
    </x:row>
    <x:row r="5">
      <x:c r="A5" s="3" t="s">
        <x:v>134</x:v>
      </x:c>
      <x:c r="C5" s="3" t="s">
        <x:v>135</x:v>
      </x:c>
      <x:c r="E5" s="3" t="s">
        <x:v>136</x:v>
      </x:c>
      <x:c r="G5" s="3" t="s">
        <x:v>137</x:v>
      </x:c>
      <x:c r="I5" s="3" t="s">
        <x:v>138</x:v>
      </x:c>
      <x:c r="K5" s="3" t="s">
        <x:v>139</x:v>
      </x:c>
    </x:row>
    <x:row r="6">
      <x:c r="A6" s="3" t="s">
        <x:v>140</x:v>
      </x:c>
      <x:c r="C6" s="3" t="s">
        <x:v>141</x:v>
      </x:c>
      <x:c r="E6" s="3" t="s">
        <x:v>142</x:v>
      </x:c>
      <x:c r="G6" s="3" t="s">
        <x:v>143</x:v>
      </x:c>
      <x:c r="I6" s="3" t="s">
        <x:v>144</x:v>
      </x:c>
      <x:c r="K6" s="3" t="s">
        <x:v>145</x:v>
      </x:c>
    </x:row>
    <x:row r="7">
      <x:c r="A7" s="3" t="s">
        <x:v>146</x:v>
      </x:c>
      <x:c r="E7" s="3" t="s">
        <x:v>147</x:v>
      </x:c>
      <x:c r="G7" s="3" t="s">
        <x:v>148</x:v>
      </x:c>
      <x:c r="K7" s="3" t="s">
        <x:v>149</x:v>
      </x:c>
    </x:row>
    <x:row r="8">
      <x:c r="A8" s="3" t="s">
        <x:v>150</x:v>
      </x:c>
      <x:c r="E8" s="3" t="s">
        <x:v>151</x:v>
      </x:c>
      <x:c r="K8" s="3" t="s">
        <x:v>152</x:v>
      </x:c>
    </x:row>
    <x:row r="9">
      <x:c r="A9" s="3" t="s">
        <x:v>153</x:v>
      </x:c>
      <x:c r="E9" s="3" t="s">
        <x:v>154</x:v>
      </x:c>
      <x:c r="K9" s="3" t="s">
        <x:v>155</x:v>
      </x:c>
    </x:row>
    <x:row r="10">
      <x:c r="A10" s="3" t="s">
        <x:v>156</x:v>
      </x:c>
      <x:c r="E10" s="3" t="s">
        <x:v>157</x:v>
      </x:c>
    </x:row>
    <x:row r="11">
      <x:c r="A11" s="3" t="s">
        <x:v>158</x:v>
      </x:c>
      <x:c r="E11" s="3" t="s">
        <x:v>159</x:v>
      </x:c>
    </x:row>
    <x:row r="12">
      <x:c r="A12" s="3" t="s">
        <x:v>160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RowHeight="14.399999618530273"/>
  <x:cols>
    <x:col min="1" max="1" width="13.77734375" customWidth="1"/>
    <x:col min="2" max="2" width="34.77734375" customWidth="1"/>
    <x:col min="3" max="4" width="31.77734375" customWidth="1"/>
    <x:col min="5" max="5" width="30.77734375" customWidth="1"/>
    <x:col min="6" max="6" width="18.77734375" customWidth="1"/>
    <x:col min="7" max="8" width="36.77734375" customWidth="1"/>
  </x:cols>
  <x:sheetData>
    <x:row r="1" ht="30" customHeight="1">
      <x:c r="A1" s="19" t="s">
        <x:v>161</x:v>
      </x:c>
      <x:c r="B1" s="19"/>
      <x:c r="C1" s="19"/>
      <x:c r="D1" s="19"/>
      <x:c r="E1" s="19"/>
      <x:c r="F1" s="19"/>
      <x:c r="G1" s="19"/>
      <x:c r="H1" s="19"/>
    </x:row>
    <x:row r="2" ht="36" customHeight="1">
      <x:c r="A2" s="20" t="s">
        <x:v>162</x:v>
      </x:c>
      <x:c r="B2" s="20"/>
      <x:c r="C2" s="20"/>
      <x:c r="D2" s="20"/>
      <x:c r="E2" s="20"/>
      <x:c r="F2" s="20"/>
      <x:c r="G2" s="20"/>
      <x:c r="H2" s="20"/>
    </x:row>
    <x:row r="4" ht="31.950000762939453" customHeight="1">
      <x:c r="A4" s="7" t="s">
        <x:v>163</x:v>
      </x:c>
      <x:c r="B4" s="8" t="s">
        <x:v>164</x:v>
      </x:c>
      <x:c r="C4" s="8" t="s">
        <x:v>165</x:v>
      </x:c>
      <x:c r="D4" s="8" t="s">
        <x:v>166</x:v>
      </x:c>
      <x:c r="E4" s="8" t="s">
        <x:v>167</x:v>
      </x:c>
      <x:c r="F4" s="8" t="s">
        <x:v>128</x:v>
      </x:c>
      <x:c r="G4" s="8" t="s">
        <x:v>168</x:v>
      </x:c>
      <x:c r="H4" s="10" t="s">
        <x:v>169</x:v>
      </x:c>
    </x:row>
    <x:row r="5">
      <x:c r="A5" s="6" t="s">
        <x:v>170</x:v>
      </x:c>
      <x:c r="B5" s="4" t="s">
        <x:v>171</x:v>
      </x:c>
      <x:c r="C5" s="4" t="s">
        <x:v>172</x:v>
      </x:c>
      <x:c r="D5" s="2" t="str">
        <x:v>limelight</x:v>
      </x:c>
      <x:c r="E5" s="2" t="str">
        <x:v>Configure Robot: Ethernet Device; observado por Demian</x:v>
      </x:c>
      <x:c r="F5" s="2" t="str">
        <x:v>PASS</x:v>
      </x:c>
      <x:c r="G5" s="2"/>
      <x:c r="H5" s="9"/>
    </x:row>
    <x:row r="6">
      <x:c r="A6" s="6" t="s">
        <x:v>173</x:v>
      </x:c>
      <x:c r="B6" s="4" t="s">
        <x:v>174</x:v>
      </x:c>
      <x:c r="C6" s="4">
        <x:v>2026</x:v>
      </x:c>
      <x:c r="D6" s="2" t="n">
        <x:v>2026</x:v>
      </x:c>
      <x:c r="E6" s="2" t="str">
        <x:v>Limelight 3A UI 2026.0; captura 2026-07-22</x:v>
      </x:c>
      <x:c r="F6" s="2" t="str">
        <x:v>PASS</x:v>
      </x:c>
      <x:c r="G6" s="2"/>
      <x:c r="H6" s="9"/>
    </x:row>
    <x:row r="7">
      <x:c r="A7" s="6" t="s">
        <x:v>175</x:v>
      </x:c>
      <x:c r="B7" s="4" t="s">
        <x:v>176</x:v>
      </x:c>
      <x:c r="C7" s="4">
        <x:v>0</x:v>
      </x:c>
      <x:c r="D7" s="2" t="n">
        <x:v>0</x:v>
      </x:c>
      <x:c r="E7" s="2" t="str">
        <x:v>Pipeline 0 visible en UI</x:v>
      </x:c>
      <x:c r="F7" s="2" t="str">
        <x:v>PASS</x:v>
      </x:c>
      <x:c r="G7" s="2"/>
      <x:c r="H7" s="9"/>
    </x:row>
    <x:row r="8">
      <x:c r="A8" s="6" t="s">
        <x:v>177</x:v>
      </x:c>
      <x:c r="B8" s="4" t="s">
        <x:v>178</x:v>
      </x:c>
      <x:c r="C8" s="4" t="s">
        <x:v>179</x:v>
      </x:c>
      <x:c r="D8" s="2" t="str">
        <x:v>640x480 / 90</x:v>
      </x:c>
      <x:c r="E8" s="2" t="str">
        <x:v>Input UI; captura 2026-07-22</x:v>
      </x:c>
      <x:c r="F8" s="2" t="str">
        <x:v>PASS</x:v>
      </x:c>
      <x:c r="G8" s="2"/>
      <x:c r="H8" s="9" t="str">
        <x:v>R4 iluminación actual: Exposure=3300; Sensor Gain=45; Black Level=0; Red Balance=1280; Blue Balance=1500. Ajustable por sede, pero cualquier dataset de cierre debe registrar los valores usados.</x:v>
      </x:c>
    </x:row>
    <x:row r="9">
      <x:c r="A9" s="6" t="s">
        <x:v>180</x:v>
      </x:c>
      <x:c r="B9" s="4" t="s">
        <x:v>181</x:v>
      </x:c>
      <x:c r="C9" s="4" t="s">
        <x:v>182</x:v>
      </x:c>
      <x:c r="D9" s="2" t="str">
        <x:v>AprilTag Classic 36h11</x:v>
      </x:c>
      <x:c r="E9" s="2" t="str">
        <x:v>Configuration UI; captura 2026-07-22</x:v>
      </x:c>
      <x:c r="F9" s="2" t="str">
        <x:v>PASS</x:v>
      </x:c>
      <x:c r="G9" s="2"/>
      <x:c r="H9" s="9"/>
    </x:row>
    <x:row r="10">
      <x:c r="A10" s="6" t="s">
        <x:v>183</x:v>
      </x:c>
      <x:c r="B10" s="4" t="s">
        <x:v>184</x:v>
      </x:c>
      <x:c r="C10" s="4" t="s">
        <x:v>185</x:v>
      </x:c>
      <x:c r="D10" s="2" t="str">
        <x:v>165.1 mm</x:v>
      </x:c>
      <x:c r="E10" s="2" t="str">
        <x:v>Medición humana tag 20: 6.5 x 6.5 in = 165.1 x 165.1 mm; FTC Docs/SDK + pipeline R4</x:v>
      </x:c>
      <x:c r="F10" s="2" t="str">
        <x:v>PASS</x:v>
      </x:c>
      <x:c r="G10" s="2"/>
      <x:c r="H10" s="9" t="str">
        <x:v>Tag 20: cuadrado negro 6.5 in = 165.1 mm. El target completo puede medir 8.125 in incluyendo el margen blanco. No validar escala con tag de 160 mm.</x:v>
      </x:c>
    </x:row>
    <x:row r="11">
      <x:c r="A11" s="6" t="s">
        <x:v>186</x:v>
      </x:c>
      <x:c r="B11" s="4" t="s">
        <x:v>187</x:v>
      </x:c>
      <x:c r="C11" s="4">
        <x:v>0</x:v>
      </x:c>
      <x:c r="D11" s="2" t="n">
        <x:v>0</x:v>
      </x:c>
      <x:c r="E11" s="2" t="str">
        <x:v>Pipeline R4 SHA 0DDB0DD1AB23710C672D556C0201334FCEC05CD4DEA191E564B11009BD458A1F</x:v>
      </x:c>
      <x:c r="F11" s="2" t="str">
        <x:v>PASS</x:v>
      </x:c>
      <x:c r="G11" s="2"/>
      <x:c r="H11" s="9" t="s">
        <x:v>188</x:v>
      </x:c>
    </x:row>
    <x:row r="12">
      <x:c r="A12" s="6" t="s">
        <x:v>189</x:v>
      </x:c>
      <x:c r="B12" s="4" t="s">
        <x:v>190</x:v>
      </x:c>
      <x:c r="C12" s="4" t="s">
        <x:v>191</x:v>
      </x:c>
      <x:c r="D12" s="2" t="str">
        <x:v>ftc2025DECODE.fmap; SHA A503E25A94F652ED70F6D6504E429C51C97B4A347787C0C2AB7B3689D8EE8693</x:v>
      </x:c>
      <x:c r="E12" s="2" t="str">
        <x:v>UI: FMAP Verified; 2026-07-22</x:v>
      </x:c>
      <x:c r="F12" s="2" t="str">
        <x:v>PASS</x:v>
      </x:c>
      <x:c r="G12" s="2"/>
      <x:c r="H12" s="9" t="s">
        <x:v>59</x:v>
      </x:c>
    </x:row>
    <x:row r="13">
      <x:c r="A13" s="6" t="s">
        <x:v>192</x:v>
      </x:c>
      <x:c r="B13" s="4" t="s">
        <x:v>193</x:v>
      </x:c>
      <x:c r="C13" s="4" t="s">
        <x:v>194</x:v>
      </x:c>
      <x:c r="D13" s="2" t="str">
        <x:v>Forward=0.13492 m; Right=0 m; Up=0.29363 m; Roll=0 deg; Pitch=30 deg; Yaw=0 deg</x:v>
      </x:c>
      <x:c r="E13" s="2" t="str">
        <x:v>Captura Advanced + pipeline R4 SHA 0DDB0DD1AB23710C672D556C0201334FCEC05CD4DEA191E564B11009BD458A1F</x:v>
      </x:c>
      <x:c r="F13" s="2" t="str">
        <x:v>PASS</x:v>
      </x:c>
      <x:c r="G13" s="2"/>
      <x:c r="H13" s="9" t="s">
        <x:v>195</x:v>
      </x:c>
    </x:row>
    <x:row r="14">
      <x:c r="A14" s="6" t="s">
        <x:v>196</x:v>
      </x:c>
      <x:c r="B14" s="4" t="s">
        <x:v>197</x:v>
      </x:c>
      <x:c r="C14" s="4" t="s">
        <x:v>135</x:v>
      </x:c>
      <x:c r="D14" s="2" t="str">
        <x:v>YES</x:v>
      </x:c>
      <x:c r="E14" s="2" t="str">
        <x:v>Confirmación humana: montaje rígido</x:v>
      </x:c>
      <x:c r="F14" s="2" t="str">
        <x:v>PASS</x:v>
      </x:c>
      <x:c r="G14" s="2"/>
      <x:c r="H14" s="9"/>
    </x:row>
    <x:row r="15">
      <x:c r="A15" s="6" t="s">
        <x:v>198</x:v>
      </x:c>
      <x:c r="B15" s="4" t="s">
        <x:v>199</x:v>
      </x:c>
      <x:c r="C15" s="4" t="s">
        <x:v>141</x:v>
      </x:c>
      <x:c r="D15" s="2" t="str">
        <x:v>NO</x:v>
      </x:c>
      <x:c r="E15" s="2" t="str">
        <x:v>Inspección humana de Demian: lente y campo de visión sin oclusión; 2026-07-22</x:v>
      </x:c>
      <x:c r="F15" s="2" t="str">
        <x:v>PASS</x:v>
      </x:c>
      <x:c r="G15" s="2"/>
      <x:c r="H15" s="9"/>
    </x:row>
    <x:row r="16">
      <x:c r="A16" s="6" t="s">
        <x:v>200</x:v>
      </x:c>
      <x:c r="B16" s="4" t="s">
        <x:v>201</x:v>
      </x:c>
      <x:c r="C16" s="4" t="s">
        <x:v>135</x:v>
      </x:c>
      <x:c r="D16" s="2" t="str">
        <x:v>YES</x:v>
      </x:c>
      <x:c r="E16" s="2" t="str">
        <x:v>Confirmación humana: tag 20 disponible; cuadrado negro 6.5 x 6.5 in</x:v>
      </x:c>
      <x:c r="F16" s="2" t="str">
        <x:v>PASS</x:v>
      </x:c>
      <x:c r="G16" s="2"/>
      <x:c r="H16" s="9"/>
    </x:row>
    <x:row r="17">
      <x:c r="A17" s="6" t="s">
        <x:v>202</x:v>
      </x:c>
      <x:c r="B17" s="4" t="s">
        <x:v>203</x:v>
      </x:c>
      <x:c r="C17" s="4" t="s">
        <x:v>135</x:v>
      </x:c>
      <x:c r="D17" s="2" t="str">
        <x:v>YES</x:v>
      </x:c>
      <x:c r="E17" s="2" t="str">
        <x:v>Confirmación humana: tag 24 disponible; cuadrado negro 6.5 x 6.5 in = 165.1 x 165.1 mm</x:v>
      </x:c>
      <x:c r="F17" s="2" t="str">
        <x:v>PASS</x:v>
      </x:c>
      <x:c r="G17" s="2"/>
      <x:c r="H17" s="9"/>
    </x:row>
    <x:row r="18">
      <x:c r="A18" s="11" t="s">
        <x:v>204</x:v>
      </x:c>
      <x:c r="B18" s="15" t="s">
        <x:v>205</x:v>
      </x:c>
      <x:c r="C18" s="15" t="s">
        <x:v>135</x:v>
      </x:c>
      <x:c r="D18" s="12" t="str">
        <x:v>YES</x:v>
      </x:c>
      <x:c r="E18" s="12" t="str">
        <x:v>Revisión humana PRE-INIT: Limelight Diagnostic seleccionado/conectado sin movimiento; auditoría de fuente 533efbab</x:v>
      </x:c>
      <x:c r="F18" s="12" t="str">
        <x:v>PASS</x:v>
      </x:c>
      <x:c r="G18" s="12"/>
      <x:c r="H18" s="13" t="s">
        <x:v>206</x:v>
      </x:c>
    </x:row>
  </x:sheetData>
  <x:mergeCells>
    <x:mergeCell ref="A1:H1"/>
    <x:mergeCell ref="A2:H2"/>
  </x:mergeCells>
  <x:conditionalFormatting sqref="F5:F18">
    <x:cfRule type="cellIs" dxfId="23" priority="1" stopIfTrue="1" operator="equal">
      <x:formula>"PASS"</x:formula>
    </x:cfRule>
    <x:cfRule type="cellIs" dxfId="22" priority="2" stopIfTrue="1" operator="equal">
      <x:formula>"FAIL"</x:formula>
    </x:cfRule>
    <x:cfRule type="cellIs" dxfId="21" priority="3" stopIfTrue="1" operator="equal">
      <x:formula>"BLOCKED"</x:formula>
    </x:cfRule>
    <x:cfRule type="cellIs" dxfId="20" priority="4" stopIfTrue="1" operator="equal">
      <x:formula>"ABORTED"</x:formula>
    </x:cfRule>
  </x:conditionalFormatting>
  <x:dataValidations count="1">
    <x:dataValidation type="list" allowBlank="1" showInputMessage="1" showErrorMessage="1" sqref="F5:F18">
      <x:formula1>"""NOT_RUN,IN_PROGRESS,PASS,FAIL,BLOCKED,ABORTED,INVALID_DATA,NOT_APPLICABLE"""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6dfe42c7e94a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16.77734375" defaultRowHeight="14.399999618530273"/>
  <x:cols>
    <x:col min="12" max="12" width="28.77734375" customWidth="1"/>
    <x:col min="14" max="14" width="35.77734375" customWidth="1"/>
  </x:cols>
  <x:sheetData>
    <x:row r="1" ht="30" customHeight="1">
      <x:c r="A1" s="19" t="s">
        <x:v>207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</x:row>
    <x:row r="2" ht="36" customHeight="1">
      <x:c r="A2" s="20" t="s">
        <x:v>208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4" ht="31.950000762939453" customHeight="1">
      <x:c r="A4" s="7" t="s">
        <x:v>163</x:v>
      </x:c>
      <x:c r="B4" s="8" t="s">
        <x:v>209</x:v>
      </x:c>
      <x:c r="C4" s="8" t="s">
        <x:v>49</x:v>
      </x:c>
      <x:c r="D4" s="8" t="s">
        <x:v>210</x:v>
      </x:c>
      <x:c r="E4" s="8" t="s">
        <x:v>211</x:v>
      </x:c>
      <x:c r="F4" s="8" t="s">
        <x:v>212</x:v>
      </x:c>
      <x:c r="G4" s="8" t="s">
        <x:v>213</x:v>
      </x:c>
      <x:c r="H4" s="8" t="s">
        <x:v>214</x:v>
      </x:c>
      <x:c r="I4" s="8" t="s">
        <x:v>215</x:v>
      </x:c>
      <x:c r="J4" s="8" t="s">
        <x:v>216</x:v>
      </x:c>
      <x:c r="K4" s="8" t="s">
        <x:v>217</x:v>
      </x:c>
      <x:c r="L4" s="8" t="s">
        <x:v>167</x:v>
      </x:c>
      <x:c r="M4" s="8" t="s">
        <x:v>128</x:v>
      </x:c>
      <x:c r="N4" s="10" t="s">
        <x:v>169</x:v>
      </x:c>
    </x:row>
    <x:row r="5">
      <x:c r="A5" s="6" t="s">
        <x:v>218</x:v>
      </x:c>
      <x:c r="B5" s="4">
        <x:v>1</x:v>
      </x:c>
      <x:c r="C5" s="4" t="str">
        <x:v>R4</x:v>
      </x:c>
      <x:c r="D5" s="2" t="str">
        <x:v>YES</x:v>
      </x:c>
      <x:c r="E5" s="2" t="str">
        <x:v>YES</x:v>
      </x:c>
      <x:c r="F5" s="2" t="str">
        <x:v>YES</x:v>
      </x:c>
      <x:c r="G5" s="2" t="str">
        <x:v>YES</x:v>
      </x:c>
      <x:c r="H5" s="2" t="n">
        <x:v>0</x:v>
      </x:c>
      <x:c r="I5" s="2" t="str">
        <x:v>NO</x:v>
      </x:c>
      <x:c r="J5" s="2" t="str">
        <x:v>NO</x:v>
      </x:c>
      <x:c r="K5" s="2" t="str">
        <x:v>NO</x:v>
      </x:c>
      <x:c r="L5" s="2" t="str">
        <x:v>Demian/Mili LIFE-1 R4: INIT/START/STOP; Health=RUNNING; raw true/true/true; pipeline=0; Faults=NINGUNO; retorno a selección</x:v>
      </x:c>
      <x:c r="M5" s="4" t="str">
        <x:v>PASS</x:v>
      </x:c>
      <x:c r="N5" s="9" t="str">
        <x:v>R4 ciclo 1 estable, sin movimiento, excepción ni reinicio. Cleanup close() auditado en fuente 533efbab.</x:v>
      </x:c>
    </x:row>
    <x:row r="6">
      <x:c r="A6" s="6" t="s">
        <x:v>219</x:v>
      </x:c>
      <x:c r="B6" s="4">
        <x:v>2</x:v>
      </x:c>
      <x:c r="C6" s="4" t="str">
        <x:v>R4</x:v>
      </x:c>
      <x:c r="D6" s="2" t="str">
        <x:v>YES</x:v>
      </x:c>
      <x:c r="E6" s="2" t="str">
        <x:v>YES</x:v>
      </x:c>
      <x:c r="F6" s="2" t="str">
        <x:v>YES</x:v>
      </x:c>
      <x:c r="G6" s="2" t="str">
        <x:v>YES</x:v>
      </x:c>
      <x:c r="H6" s="2" t="n">
        <x:v>0</x:v>
      </x:c>
      <x:c r="I6" s="2" t="str">
        <x:v>NO</x:v>
      </x:c>
      <x:c r="J6" s="2" t="str">
        <x:v>NO</x:v>
      </x:c>
      <x:c r="K6" s="2" t="str">
        <x:v>NO</x:v>
      </x:c>
      <x:c r="L6" s="2" t="str">
        <x:v>Demian/Mili LIFE-2 R4: INIT/START/STOP; Health=RUNNING; raw true/true/true; pipeline=0; Faults=NINGUNO; retorno a selección</x:v>
      </x:c>
      <x:c r="M6" s="4" t="str">
        <x:v>PASS</x:v>
      </x:c>
      <x:c r="N6" s="9" t="str">
        <x:v>R4 ciclo 2 estable, sin movimiento, excepción ni reinicio. Cleanup close() auditado en fuente 533efbab.</x:v>
      </x:c>
    </x:row>
    <x:row r="7">
      <x:c r="A7" s="6" t="s">
        <x:v>220</x:v>
      </x:c>
      <x:c r="B7" s="4">
        <x:v>3</x:v>
      </x:c>
      <x:c r="C7" s="4" t="str">
        <x:v>R4</x:v>
      </x:c>
      <x:c r="D7" s="2" t="str">
        <x:v>YES</x:v>
      </x:c>
      <x:c r="E7" s="2" t="str">
        <x:v>YES</x:v>
      </x:c>
      <x:c r="F7" s="2" t="str">
        <x:v>YES</x:v>
      </x:c>
      <x:c r="G7" s="2" t="str">
        <x:v>YES</x:v>
      </x:c>
      <x:c r="H7" s="2" t="n">
        <x:v>0</x:v>
      </x:c>
      <x:c r="I7" s="2" t="str">
        <x:v>NO</x:v>
      </x:c>
      <x:c r="J7" s="2" t="str">
        <x:v>NO</x:v>
      </x:c>
      <x:c r="K7" s="2" t="str">
        <x:v>NO</x:v>
      </x:c>
      <x:c r="L7" s="2" t="str">
        <x:v>Demian/Mili LIFE-3 R4: INIT/START/STOP; Health=RUNNING; raw true/true/true; pipeline=0; Faults=NINGUNO; retorno a selección</x:v>
      </x:c>
      <x:c r="M7" s="4" t="str">
        <x:v>PASS</x:v>
      </x:c>
      <x:c r="N7" s="9" t="str">
        <x:v>R4 ciclo 3 estable, sin movimiento, excepción ni reinicio. Cleanup close() auditado en fuente 533efbab.</x:v>
      </x:c>
    </x:row>
    <x:row r="8">
      <x:c r="A8" s="6" t="s">
        <x:v>221</x:v>
      </x:c>
      <x:c r="B8" s="4">
        <x:v>4</x:v>
      </x:c>
      <x:c r="C8" s="4" t="str">
        <x:v>R4</x:v>
      </x:c>
      <x:c r="D8" s="2"/>
      <x:c r="E8" s="2"/>
      <x:c r="F8" s="2"/>
      <x:c r="G8" s="2"/>
      <x:c r="H8" s="2"/>
      <x:c r="I8" s="2"/>
      <x:c r="J8" s="2"/>
      <x:c r="K8" s="2"/>
      <x:c r="L8" s="2"/>
      <x:c r="M8" s="4" t="str">
        <x:v>NOT_RUN</x:v>
      </x:c>
      <x:c r="N8" s="9" t="str">
        <x:v>No ejecutado por autorización del test lead para avanzar con 3/5. Fórmula y gate 5/5 permanecen sin alterar.</x:v>
      </x:c>
    </x:row>
    <x:row r="9">
      <x:c r="A9" s="11" t="s">
        <x:v>222</x:v>
      </x:c>
      <x:c r="B9" s="15">
        <x:v>5</x:v>
      </x:c>
      <x:c r="C9" s="15" t="str">
        <x:v>R4</x:v>
      </x:c>
      <x:c r="D9" s="12"/>
      <x:c r="E9" s="12"/>
      <x:c r="F9" s="12"/>
      <x:c r="G9" s="12"/>
      <x:c r="H9" s="12"/>
      <x:c r="I9" s="12"/>
      <x:c r="J9" s="12"/>
      <x:c r="K9" s="12"/>
      <x:c r="L9" s="12"/>
      <x:c r="M9" s="15" t="str">
        <x:v>NOT_RUN</x:v>
      </x:c>
      <x:c r="N9" s="13" t="str">
        <x:v>No ejecutado por autorización del test lead para avanzar con 3/5. Fórmula y gate 5/5 permanecen sin alterar.</x:v>
      </x:c>
    </x:row>
  </x:sheetData>
  <x:mergeCells>
    <x:mergeCell ref="A1:N1"/>
    <x:mergeCell ref="A2:N2"/>
  </x:mergeCells>
  <x:conditionalFormatting sqref="M5:M9">
    <x:cfRule type="cellIs" dxfId="19" priority="1" stopIfTrue="1" operator="equal">
      <x:formula>"PASS"</x:formula>
    </x:cfRule>
    <x:cfRule type="cellIs" dxfId="18" priority="2" stopIfTrue="1" operator="equal">
      <x:formula>"FAIL"</x:formula>
    </x:cfRule>
    <x:cfRule type="cellIs" dxfId="17" priority="3" stopIfTrue="1" operator="equal">
      <x:formula>"BLOCKED"</x:formula>
    </x:cfRule>
    <x:cfRule type="cellIs" dxfId="16" priority="4" stopIfTrue="1" operator="equal">
      <x:formula>"ABORTED"</x:formula>
    </x:cfRule>
  </x:conditionalFormatting>
  <x:dataValidations count="2">
    <x:dataValidation type="list" allowBlank="1" showInputMessage="1" showErrorMessage="1" sqref="D5:D9 E5:E9 F5:F9 G5:G9 I5:I9 J5:J9 K5:K9">
      <x:formula1>"""YES,NO"""</x:formula1>
    </x:dataValidation>
    <x:dataValidation type="list" allowBlank="1" showInputMessage="1" showErrorMessage="1" sqref="M5:M9">
      <x:formula1>"""NOT_RUN,IN_PROGRESS,PASS,FAIL,BLOCKED,ABORTED,INVALID_DATA,NOT_APPLICABLE"""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72fa9facbe45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16.77734375" defaultRowHeight="14.399999618530273"/>
  <x:cols>
    <x:col min="21" max="22" width="34.77734375" customWidth="1"/>
  </x:cols>
  <x:sheetData>
    <x:row r="1" ht="30" customHeight="1">
      <x:c r="A1" s="19" t="s">
        <x:v>223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</x:row>
    <x:row r="2" ht="36" customHeight="1">
      <x:c r="A2" s="20" t="s">
        <x:v>224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</x:row>
    <x:row r="4" ht="31.950000762939453" customHeight="1">
      <x:c r="A4" s="7" t="s">
        <x:v>225</x:v>
      </x:c>
      <x:c r="B4" s="8" t="s">
        <x:v>49</x:v>
      </x:c>
      <x:c r="C4" s="8" t="s">
        <x:v>226</x:v>
      </x:c>
      <x:c r="D4" s="8" t="s">
        <x:v>227</x:v>
      </x:c>
      <x:c r="E4" s="8" t="s">
        <x:v>228</x:v>
      </x:c>
      <x:c r="F4" s="8" t="s">
        <x:v>229</x:v>
      </x:c>
      <x:c r="G4" s="8" t="s">
        <x:v>230</x:v>
      </x:c>
      <x:c r="H4" s="8" t="s">
        <x:v>231</x:v>
      </x:c>
      <x:c r="I4" s="8" t="s">
        <x:v>232</x:v>
      </x:c>
      <x:c r="J4" s="8" t="s">
        <x:v>233</x:v>
      </x:c>
      <x:c r="K4" s="8" t="s">
        <x:v>234</x:v>
      </x:c>
      <x:c r="L4" s="8" t="s">
        <x:v>235</x:v>
      </x:c>
      <x:c r="M4" s="8" t="s">
        <x:v>236</x:v>
      </x:c>
      <x:c r="N4" s="8" t="s">
        <x:v>237</x:v>
      </x:c>
      <x:c r="O4" s="8" t="s">
        <x:v>238</x:v>
      </x:c>
      <x:c r="P4" s="8" t="s">
        <x:v>239</x:v>
      </x:c>
      <x:c r="Q4" s="8" t="s">
        <x:v>240</x:v>
      </x:c>
      <x:c r="R4" s="8" t="s">
        <x:v>241</x:v>
      </x:c>
      <x:c r="S4" s="8" t="s">
        <x:v>242</x:v>
      </x:c>
      <x:c r="T4" s="8" t="s">
        <x:v>130</x:v>
      </x:c>
      <x:c r="U4" s="8" t="s">
        <x:v>243</x:v>
      </x:c>
      <x:c r="V4" s="10" t="s">
        <x:v>167</x:v>
      </x:c>
    </x:row>
    <x:row r="5">
      <x:c r="A5" s="6" t="s">
        <x:v>244</x:v>
      </x:c>
      <x:c r="B5" s="4" t="str">
        <x:v>R3</x:v>
      </x:c>
      <x:c r="C5" s="2" t="n">
        <x:v>-1</x:v>
      </x:c>
      <x:c r="D5" s="2" t="str">
        <x:v>BLUE</x:v>
      </x:c>
      <x:c r="E5" s="2" t="str">
        <x:v>NO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  <x:c r="J5" s="2"/>
      <x:c r="K5" s="2"/>
      <x:c r="L5" s="2" t="n">
        <x:v>0</x:v>
      </x:c>
      <x:c r="M5" s="2" t="n">
        <x:v>0</x:v>
      </x:c>
      <x:c r="N5" s="2" t="str">
        <x:v>NO</x:v>
      </x:c>
      <x:c r="O5" s="2"/>
      <x:c r="P5" s="2"/>
      <x:c r="Q5" s="2"/>
      <x:c r="R5" s="2"/>
      <x:c r="S5" s="2" t="str">
        <x:v>YES</x:v>
      </x:c>
      <x:c r="T5" s="2" t="str">
        <x:v>INVALID</x:v>
      </x:c>
      <x:c r="U5" s="2" t="str">
        <x:v>RESULT_INVALID</x:v>
      </x:c>
      <x:c r="V5" s="9" t="str">
        <x:v>Telemetría humana en INIT: sin movimiento ni excepción; raw alternó Valid true/false, fiduciales 0/1, tag -1/20, staleness 0-~17 ms y botpose disponible/no disponible</x:v>
      </x:c>
    </x:row>
    <x:row r="6">
      <x:c r="A6" s="6" t="s">
        <x:v>245</x:v>
      </x:c>
      <x:c r="B6" s="4" t="str">
        <x:v>R4</x:v>
      </x:c>
      <x:c r="C6" s="2" t="n">
        <x:v>20</x:v>
      </x:c>
      <x:c r="D6" s="2" t="str">
        <x:v>BLUE</x:v>
      </x:c>
      <x:c r="E6" s="2" t="str">
        <x:v>YES</x:v>
      </x:c>
      <x:c r="F6" s="2" t="n">
        <x:v>-3.24</x:v>
      </x:c>
      <x:c r="G6" s="2" t="n">
        <x:v>-0.28</x:v>
      </x:c>
      <x:c r="H6" s="2" t="n">
        <x:v>0.015</x:v>
      </x:c>
      <x:c r="I6" s="2" t="n">
        <x:v>20</x:v>
      </x:c>
      <x:c r="J6" s="2"/>
      <x:c r="K6" s="2"/>
      <x:c r="L6" s="2" t="n">
        <x:v>59</x:v>
      </x:c>
      <x:c r="M6" s="2" t="n">
        <x:v>1</x:v>
      </x:c>
      <x:c r="N6" s="2" t="str">
        <x:v>YES</x:v>
      </x:c>
      <x:c r="O6" s="2" t="n">
        <x:v>-0.71</x:v>
      </x:c>
      <x:c r="P6" s="2" t="n">
        <x:v>-0.42</x:v>
      </x:c>
      <x:c r="Q6" s="2"/>
      <x:c r="R6" s="2" t="n">
        <x:v>-131.5</x:v>
      </x:c>
      <x:c r="S6" s="2" t="str">
        <x:v>YES</x:v>
      </x:c>
      <x:c r="T6" s="2" t="str">
        <x:v>VALID</x:v>
      </x:c>
      <x:c r="U6" s="2"/>
      <x:c r="V6" s="9" t="str">
        <x:v>Demian INIT R4: Quality=VALID, Usable=true; staleness observado 3-20 ms y latencia 41-59 ms (se registran máximos); Botpose X=-0.71 m, Y=-0.42 m, H=-131.5 deg; sin movimiento, excepción ni faults</x:v>
      </x:c>
    </x:row>
    <x:row r="7">
      <x:c r="A7" s="6" t="s">
        <x:v>246</x:v>
      </x:c>
      <x:c r="B7" s="4" t="str">
        <x:v>R4</x:v>
      </x:c>
      <x:c r="C7" s="2" t="n">
        <x:v>24</x:v>
      </x:c>
      <x:c r="D7" s="2" t="str">
        <x:v>RED</x:v>
      </x:c>
      <x:c r="E7" s="2" t="str">
        <x:v>YES</x:v>
      </x:c>
      <x:c r="F7" s="2" t="n">
        <x:v>-1.15</x:v>
      </x:c>
      <x:c r="G7" s="2" t="n">
        <x:v>-6.54</x:v>
      </x:c>
      <x:c r="H7" s="2" t="n">
        <x:v>0.024</x:v>
      </x:c>
      <x:c r="I7" s="2" t="n">
        <x:v>24</x:v>
      </x:c>
      <x:c r="J7" s="2"/>
      <x:c r="K7" s="2"/>
      <x:c r="L7" s="2" t="n">
        <x:v>56</x:v>
      </x:c>
      <x:c r="M7" s="2" t="n">
        <x:v>1</x:v>
      </x:c>
      <x:c r="N7" s="2" t="str">
        <x:v>YES</x:v>
      </x:c>
      <x:c r="O7" s="2" t="n">
        <x:v>-0.7</x:v>
      </x:c>
      <x:c r="P7" s="2" t="n">
        <x:v>0.45</x:v>
      </x:c>
      <x:c r="Q7" s="2"/>
      <x:c r="R7" s="2" t="n">
        <x:v>129</x:v>
      </x:c>
      <x:c r="S7" s="2" t="str">
        <x:v>YES</x:v>
      </x:c>
      <x:c r="T7" s="2" t="str">
        <x:v>VALID</x:v>
      </x:c>
      <x:c r="U7" s="2"/>
      <x:c r="V7" s="9" t="str">
        <x:v>Demian INIT R4: Quality=VALID, Usable=true; staleness observado 3-24 ms y latencia 45-56 ms (se registran máximos); Botpose X=-0.70 m, Y=0.45 m, H=129 deg; sin movimiento, excepción ni faults</x:v>
      </x:c>
    </x:row>
    <x:row r="8">
      <x:c r="A8" s="6" t="s">
        <x:v>247</x:v>
      </x:c>
      <x:c r="B8" s="4" t="str">
        <x:v>R4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9"/>
    </x:row>
    <x:row r="9">
      <x:c r="A9" s="6" t="s">
        <x:v>248</x:v>
      </x:c>
      <x:c r="B9" s="4" t="str">
        <x:v>R4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9"/>
    </x:row>
    <x:row r="10">
      <x:c r="A10" s="6" t="s">
        <x:v>249</x:v>
      </x:c>
      <x:c r="B10" s="4" t="str">
        <x:v>R4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9"/>
    </x:row>
    <x:row r="11">
      <x:c r="A11" s="6" t="s">
        <x:v>250</x:v>
      </x:c>
      <x:c r="B11" s="4" t="str">
        <x:v>R4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9"/>
    </x:row>
    <x:row r="12">
      <x:c r="A12" s="6" t="s">
        <x:v>251</x:v>
      </x:c>
      <x:c r="B12" s="4" t="str">
        <x:v>R4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9"/>
    </x:row>
    <x:row r="13">
      <x:c r="A13" s="6" t="s">
        <x:v>252</x:v>
      </x:c>
      <x:c r="B13" s="4" t="str">
        <x:v>R4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9"/>
    </x:row>
    <x:row r="14">
      <x:c r="A14" s="6" t="s">
        <x:v>253</x:v>
      </x:c>
      <x:c r="B14" s="4" t="str">
        <x:v>R4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9"/>
    </x:row>
    <x:row r="15">
      <x:c r="A15" s="6" t="s">
        <x:v>254</x:v>
      </x:c>
      <x:c r="B15" s="4" t="str">
        <x:v>R4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9"/>
    </x:row>
    <x:row r="16">
      <x:c r="A16" s="6" t="s">
        <x:v>255</x:v>
      </x:c>
      <x:c r="B16" s="4" t="str">
        <x:v>R4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9"/>
    </x:row>
    <x:row r="17">
      <x:c r="A17" s="6" t="s">
        <x:v>256</x:v>
      </x:c>
      <x:c r="B17" s="4" t="str">
        <x:v>R4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9"/>
    </x:row>
    <x:row r="18">
      <x:c r="A18" s="6" t="s">
        <x:v>257</x:v>
      </x:c>
      <x:c r="B18" s="4" t="str">
        <x:v>R4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9"/>
    </x:row>
    <x:row r="19">
      <x:c r="A19" s="6" t="s">
        <x:v>258</x:v>
      </x:c>
      <x:c r="B19" s="4" t="str">
        <x:v>R4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9"/>
    </x:row>
    <x:row r="20">
      <x:c r="A20" s="6" t="s">
        <x:v>259</x:v>
      </x:c>
      <x:c r="B20" s="4" t="str">
        <x:v>R4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9"/>
    </x:row>
    <x:row r="21">
      <x:c r="A21" s="6" t="s">
        <x:v>260</x:v>
      </x:c>
      <x:c r="B21" s="4" t="str">
        <x:v>R4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9"/>
    </x:row>
    <x:row r="22">
      <x:c r="A22" s="6" t="s">
        <x:v>261</x:v>
      </x:c>
      <x:c r="B22" s="4" t="str">
        <x:v>R4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9"/>
    </x:row>
    <x:row r="23">
      <x:c r="A23" s="6" t="s">
        <x:v>262</x:v>
      </x:c>
      <x:c r="B23" s="4" t="str">
        <x:v>R4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9"/>
    </x:row>
    <x:row r="24">
      <x:c r="A24" s="6" t="s">
        <x:v>263</x:v>
      </x:c>
      <x:c r="B24" s="4" t="str">
        <x:v>R4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9"/>
    </x:row>
    <x:row r="25">
      <x:c r="A25" s="6" t="s">
        <x:v>264</x:v>
      </x:c>
      <x:c r="B25" s="4" t="str">
        <x:v>R4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9"/>
    </x:row>
    <x:row r="26">
      <x:c r="A26" s="6" t="s">
        <x:v>265</x:v>
      </x:c>
      <x:c r="B26" s="4" t="str">
        <x:v>R4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9"/>
    </x:row>
    <x:row r="27">
      <x:c r="A27" s="6" t="s">
        <x:v>266</x:v>
      </x:c>
      <x:c r="B27" s="4" t="str">
        <x:v>R4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9"/>
    </x:row>
    <x:row r="28">
      <x:c r="A28" s="6" t="s">
        <x:v>267</x:v>
      </x:c>
      <x:c r="B28" s="4" t="str">
        <x:v>R4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9"/>
    </x:row>
    <x:row r="29">
      <x:c r="A29" s="6" t="s">
        <x:v>268</x:v>
      </x:c>
      <x:c r="B29" s="4" t="str">
        <x:v>R4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9"/>
    </x:row>
    <x:row r="30">
      <x:c r="A30" s="6" t="s">
        <x:v>269</x:v>
      </x:c>
      <x:c r="B30" s="4" t="str">
        <x:v>R4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9"/>
    </x:row>
    <x:row r="31">
      <x:c r="A31" s="6" t="s">
        <x:v>270</x:v>
      </x:c>
      <x:c r="B31" s="4" t="str">
        <x:v>R4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9"/>
    </x:row>
    <x:row r="32">
      <x:c r="A32" s="6" t="s">
        <x:v>271</x:v>
      </x:c>
      <x:c r="B32" s="4" t="str">
        <x:v>R4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9"/>
    </x:row>
    <x:row r="33">
      <x:c r="A33" s="6" t="s">
        <x:v>272</x:v>
      </x:c>
      <x:c r="B33" s="4" t="str">
        <x:v>R4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9"/>
    </x:row>
    <x:row r="34">
      <x:c r="A34" s="6" t="s">
        <x:v>273</x:v>
      </x:c>
      <x:c r="B34" s="4" t="str">
        <x:v>R4</x:v>
      </x:c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9"/>
    </x:row>
    <x:row r="35">
      <x:c r="A35" s="6" t="s">
        <x:v>274</x:v>
      </x:c>
      <x:c r="B35" s="4" t="str">
        <x:v>R4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9"/>
    </x:row>
    <x:row r="36">
      <x:c r="A36" s="6" t="s">
        <x:v>275</x:v>
      </x:c>
      <x:c r="B36" s="4" t="str">
        <x:v>R4</x:v>
      </x:c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9"/>
    </x:row>
    <x:row r="37">
      <x:c r="A37" s="6" t="s">
        <x:v>276</x:v>
      </x:c>
      <x:c r="B37" s="4" t="str">
        <x:v>R4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9"/>
    </x:row>
    <x:row r="38">
      <x:c r="A38" s="6" t="s">
        <x:v>277</x:v>
      </x:c>
      <x:c r="B38" s="4" t="str">
        <x:v>R4</x:v>
      </x:c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9"/>
    </x:row>
    <x:row r="39">
      <x:c r="A39" s="6" t="s">
        <x:v>278</x:v>
      </x:c>
      <x:c r="B39" s="4" t="str">
        <x:v>R4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9"/>
    </x:row>
    <x:row r="40">
      <x:c r="A40" s="6" t="s">
        <x:v>279</x:v>
      </x:c>
      <x:c r="B40" s="4" t="str">
        <x:v>R4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9"/>
    </x:row>
    <x:row r="41">
      <x:c r="A41" s="6" t="s">
        <x:v>280</x:v>
      </x:c>
      <x:c r="B41" s="4" t="str">
        <x:v>R4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9"/>
    </x:row>
    <x:row r="42">
      <x:c r="A42" s="6" t="s">
        <x:v>281</x:v>
      </x:c>
      <x:c r="B42" s="4" t="str">
        <x:v>R4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9"/>
    </x:row>
    <x:row r="43">
      <x:c r="A43" s="6" t="s">
        <x:v>282</x:v>
      </x:c>
      <x:c r="B43" s="4" t="str">
        <x:v>R4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9"/>
    </x:row>
    <x:row r="44">
      <x:c r="A44" s="11" t="s">
        <x:v>283</x:v>
      </x:c>
      <x:c r="B44" s="15" t="str">
        <x:v>R4</x:v>
      </x:c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3"/>
    </x:row>
  </x:sheetData>
  <x:mergeCells>
    <x:mergeCell ref="A1:V1"/>
    <x:mergeCell ref="A2:V2"/>
  </x:mergeCells>
  <x:dataValidations count="3">
    <x:dataValidation type="list" allowBlank="1" showInputMessage="1" showErrorMessage="1" sqref="D5:D44">
      <x:formula1>"""BLUE,RED"""</x:formula1>
    </x:dataValidation>
    <x:dataValidation type="list" allowBlank="1" showInputMessage="1" showErrorMessage="1" sqref="E5:E44 N5:N44 S5:S44">
      <x:formula1>"""YES,NO"""</x:formula1>
    </x:dataValidation>
    <x:dataValidation type="list" allowBlank="1" showInputMessage="1" showErrorMessage="1" sqref="T5:T44">
      <x:formula1>"""VALID,NO_TARGET,WRONG_TAG,STALE,PIPELINE_MISMATCH,DEVICE_DISCONNECTED,INVALID"""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ab2ad8e8d649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10" defaultColWidth="20.77734375" defaultRowHeight="14.399999618530273"/>
  <x:cols>
    <x:col min="2" max="2" width="24.77734375" customWidth="1"/>
    <x:col min="3" max="4" width="28.77734375" customWidth="1"/>
    <x:col min="9" max="9" width="28.77734375" customWidth="1"/>
    <x:col min="11" max="12" width="35.77734375" customWidth="1"/>
  </x:cols>
  <x:sheetData>
    <x:row r="1" ht="30" customHeight="1">
      <x:c r="A1" s="19" t="s">
        <x:v>284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 ht="36" customHeight="1">
      <x:c r="A2" s="20" t="s">
        <x:v>285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4" ht="31.950000762939453" customHeight="1">
      <x:c r="A4" s="7" t="s">
        <x:v>163</x:v>
      </x:c>
      <x:c r="B4" s="8" t="s">
        <x:v>286</x:v>
      </x:c>
      <x:c r="C4" s="8" t="s">
        <x:v>287</x:v>
      </x:c>
      <x:c r="D4" s="8" t="s">
        <x:v>288</x:v>
      </x:c>
      <x:c r="E4" s="8" t="s">
        <x:v>289</x:v>
      </x:c>
      <x:c r="F4" s="8" t="s">
        <x:v>217</x:v>
      </x:c>
      <x:c r="G4" s="8" t="s">
        <x:v>215</x:v>
      </x:c>
      <x:c r="H4" s="8" t="s">
        <x:v>290</x:v>
      </x:c>
      <x:c r="I4" s="8" t="s">
        <x:v>167</x:v>
      </x:c>
      <x:c r="J4" s="8" t="s">
        <x:v>128</x:v>
      </x:c>
      <x:c r="K4" s="8" t="s">
        <x:v>168</x:v>
      </x:c>
      <x:c r="L4" s="10" t="s">
        <x:v>169</x:v>
      </x:c>
    </x:row>
    <x:row r="5">
      <x:c r="A5" s="6" t="s">
        <x:v>291</x:v>
      </x:c>
      <x:c r="B5" s="4" t="s">
        <x:v>292</x:v>
      </x:c>
      <x:c r="C5" s="4" t="s">
        <x:v>293</x:v>
      </x:c>
      <x:c r="D5" s="2" t="str">
        <x:v>INVALID</x:v>
      </x:c>
      <x:c r="E5" s="2" t="str">
        <x:v>YES</x:v>
      </x:c>
      <x:c r="F5" s="2" t="str">
        <x:v>NO</x:v>
      </x:c>
      <x:c r="G5" s="2" t="str">
        <x:v>NO</x:v>
      </x:c>
      <x:c r="H5" s="2" t="str">
        <x:v>YES</x:v>
      </x:c>
      <x:c r="I5" s="2" t="str">
        <x:v>Demian FLT-01 R4 en INIT: lente cubierto -&gt; INVALID/RESULT_INVALID, tag=-1, tx/ty/area=0, botpose no disponible; al destapar recuperó VALID; sin movimiento ni excepción</x:v>
      </x:c>
      <x:c r="J5" s="4" t="str">
        <x:f t="shared" ref="J5:J12" si="0">IF(COUNTA(D5:I5)=0,"NOT_RUN",IF(OR(E5&lt;&gt;"YES",F5&lt;&gt;"NO",G5&lt;&gt;"NO"),"FAIL",IF(AND(D5&lt;&gt;"",H5="YES",I5&lt;&gt;""),"PASS","BLOCKED")))</x:f>
        <x:v>PASS</x:v>
      </x:c>
      <x:c r="K5" s="2"/>
      <x:c r="L5" s="9" t="str">
        <x:v>Test lead Demian autoriza aceptar INVALID/RESULT_INVALID como rechazo fail-closed equivalente. Valores accionables cero, sin pose, movimiento ni excepción; recuperó VALID.</x:v>
      </x:c>
    </x:row>
    <x:row r="6">
      <x:c r="A6" s="6" t="s">
        <x:v>294</x:v>
      </x:c>
      <x:c r="B6" s="4" t="s">
        <x:v>295</x:v>
      </x:c>
      <x:c r="C6" s="4" t="s">
        <x:v>147</x:v>
      </x:c>
      <x:c r="D6" s="2" t="str">
        <x:v>WRONG_TAG</x:v>
      </x:c>
      <x:c r="E6" s="2" t="str">
        <x:v>YES</x:v>
      </x:c>
      <x:c r="F6" s="2" t="str">
        <x:v>NO</x:v>
      </x:c>
      <x:c r="G6" s="2" t="str">
        <x:v>NO</x:v>
      </x:c>
      <x:c r="H6" s="2" t="str">
        <x:v>YES</x:v>
      </x:c>
      <x:c r="I6" s="2" t="str">
        <x:v>Demian FLT-02 R4 en INIT RED: mostró tag 20 esperando 24 -&gt; Quality=WRONG_TAG; sin movimiento; al restaurar tag 24 recuperó Quality=VALID. Ceros fail-closed auditados en LimelightObservation.rejected().</x:v>
      </x:c>
      <x:c r="J6" s="4" t="str">
        <x:f t="shared" si="0"/>
        <x:v>PASS</x:v>
      </x:c>
      <x:c r="K6" s="2"/>
      <x:c r="L6" s="9" t="str">
        <x:v>Prueba abreviada autorizada por urgencia; evidencia humana de clasificación, inmovilidad y recuperación, complementada con auditoría de sanitización en fuente 533efbab.</x:v>
      </x:c>
    </x:row>
    <x:row r="7">
      <x:c r="A7" s="6" t="s">
        <x:v>296</x:v>
      </x:c>
      <x:c r="B7" s="4" t="s">
        <x:v>297</x:v>
      </x:c>
      <x:c r="C7" s="4" t="s">
        <x:v>159</x:v>
      </x:c>
      <x:c r="D7" s="2" t="str">
        <x:v>INVALID</x:v>
      </x:c>
      <x:c r="E7" s="2" t="str">
        <x:v>YES</x:v>
      </x:c>
      <x:c r="F7" s="2" t="str">
        <x:v>NO</x:v>
      </x:c>
      <x:c r="G7" s="2" t="str">
        <x:v>NO</x:v>
      </x:c>
      <x:c r="H7" s="2" t="str">
        <x:v>YES</x:v>
      </x:c>
      <x:c r="I7" s="2" t="str">
        <x:v>Demian FLT-03 R4 en INIT: lente cubierto -&gt; Quality=INVALID; tx/ty/area=0; sin movimiento; al destapar recuperó VALID</x:v>
      </x:c>
      <x:c r="J7" s="4" t="str">
        <x:f t="shared" si="0"/>
        <x:v>PASS</x:v>
      </x:c>
      <x:c r="K7" s="2"/>
      <x:c r="L7" s="9" t="str">
        <x:v>Resultado inválido rechazado fail-closed con valores accionables cero y recuperación de telemetría.</x:v>
      </x:c>
    </x:row>
    <x:row r="8">
      <x:c r="A8" s="6" t="s">
        <x:v>298</x:v>
      </x:c>
      <x:c r="B8" s="4" t="s">
        <x:v>299</x:v>
      </x:c>
      <x:c r="C8" s="4" t="s">
        <x:v>154</x:v>
      </x:c>
      <x:c r="D8" s="2" t="str">
        <x:v>INVALID</x:v>
      </x:c>
      <x:c r="E8" s="2" t="str">
        <x:v>YES</x:v>
      </x:c>
      <x:c r="F8" s="2" t="str">
        <x:v>NO</x:v>
      </x:c>
      <x:c r="G8" s="2" t="str">
        <x:v>NO</x:v>
      </x:c>
      <x:c r="H8" s="2" t="str">
        <x:v>YES</x:v>
      </x:c>
      <x:c r="I8" s="2" t="str">
        <x:v>Demian FLT-04 R4 en INIT: UI cambió 0-&gt;1; Quality=INVALID, raw pipeline=-1; sin movimiento/excepción; al restaurar pipeline 0 recuperó VALID</x:v>
      </x:c>
      <x:c r="J8" s="4" t="str">
        <x:f t="shared" si="0"/>
        <x:v>PASS</x:v>
      </x:c>
      <x:c r="K8" s="2"/>
      <x:c r="L8" s="9" t="str">
        <x:v>Test lead autoriza INVALID/raw -1 como rechazo fail-closed equivalente para FLT-04. Pipeline 1 no tenía resultado válido; pipeline base R4 quedó restaurado en 0.</x:v>
      </x:c>
    </x:row>
    <x:row r="9">
      <x:c r="A9" s="6" t="s">
        <x:v>300</x:v>
      </x:c>
      <x:c r="B9" s="4" t="s">
        <x:v>301</x:v>
      </x:c>
      <x:c r="C9" s="4" t="s">
        <x:v>157</x:v>
      </x:c>
      <x:c r="D9" s="2" t="str">
        <x:v>DEVICE_DISCONNECTED</x:v>
      </x:c>
      <x:c r="E9" s="2" t="str">
        <x:v>YES</x:v>
      </x:c>
      <x:c r="F9" s="2" t="str">
        <x:v>NO</x:v>
      </x:c>
      <x:c r="G9" s="2" t="str">
        <x:v>NO</x:v>
      </x:c>
      <x:c r="H9" s="2" t="str">
        <x:v>YES</x:v>
      </x:c>
      <x:c r="I9" s="2" t="str">
        <x:v>Demian/Mili FLT-05 R4 en INIT: USB desconectado del lado Limelight -&gt; Health=DISCONNECTED, Quality=DEVICE_DISCONNECTED, raw true/false/true; sin movimiento ni excepción</x:v>
      </x:c>
      <x:c r="J9" s="4" t="str">
        <x:f t="shared" si="0"/>
        <x:v>PASS</x:v>
      </x:c>
      <x:c r="K9" s="2"/>
      <x:c r="L9" s="9" t="str">
        <x:v>Desconexión detectada fail-closed. La recuperación se registra por separado en FLT-06.</x:v>
      </x:c>
    </x:row>
    <x:row r="10">
      <x:c r="A10" s="6" t="s">
        <x:v>302</x:v>
      </x:c>
      <x:c r="B10" s="4" t="s">
        <x:v>303</x:v>
      </x:c>
      <x:c r="C10" s="4" t="s">
        <x:v>304</x:v>
      </x:c>
      <x:c r="D10" s="2" t="str">
        <x:v>VALID</x:v>
      </x:c>
      <x:c r="E10" s="2" t="str">
        <x:v>YES</x:v>
      </x:c>
      <x:c r="F10" s="2" t="str">
        <x:v>NO</x:v>
      </x:c>
      <x:c r="G10" s="2" t="str">
        <x:v>NO</x:v>
      </x:c>
      <x:c r="H10" s="2" t="str">
        <x:v>YES</x:v>
      </x:c>
      <x:c r="I10" s="2" t="str">
        <x:v>Demian/Mili FLT-06 R4: reconectó mismo USB; encendido normal aunque tardó; recuperación automática sin STOP/INIT -&gt; Health=RUNNING, Quality=VALID; sin movimiento ni excepción</x:v>
      </x:c>
      <x:c r="J10" s="4" t="str">
        <x:f t="shared" si="0"/>
        <x:v>PASS</x:v>
      </x:c>
      <x:c r="K10" s="2"/>
      <x:c r="L10" s="9" t="str">
        <x:v>Recuperación únicamente de cámara/telemetría; ningún consumidor de pose o actuador habilitado.</x:v>
      </x:c>
    </x:row>
    <x:row r="11">
      <x:c r="A11" s="6" t="s">
        <x:v>305</x:v>
      </x:c>
      <x:c r="B11" s="4" t="s">
        <x:v>306</x:v>
      </x:c>
      <x:c r="C11" s="4" t="s">
        <x:v>151</x:v>
      </x:c>
      <x:c r="D11" s="2" t="str">
        <x:v>INVALID</x:v>
      </x:c>
      <x:c r="E11" s="2" t="str">
        <x:v>YES</x:v>
      </x:c>
      <x:c r="F11" s="2" t="str">
        <x:v>NO</x:v>
      </x:c>
      <x:c r="G11" s="2" t="str">
        <x:v>NO</x:v>
      </x:c>
      <x:c r="H11" s="2" t="str">
        <x:v>YES</x:v>
      </x:c>
      <x:c r="I11" s="2" t="str">
        <x:v>Demian FLT-07 R4: Restart Vision Client -&gt; Quality=INVALID, staleness máximo observado=20 ms, sin movimiento ni reinicio RC; recuperó VALID. LimelightObservationTest cubre rechazo STALE &gt;200 ms.</x:v>
      </x:c>
      <x:c r="J11" s="4" t="str">
        <x:f t="shared" si="0"/>
        <x:v>PASS</x:v>
      </x:c>
      <x:c r="K11" s="2"/>
      <x:c r="L11" s="9" t="str">
        <x:v>Test lead autoriza PASS con rechazo físico INVALID y recuperación, complementado por prueba unitaria del gate STALE &gt;200 ms.</x:v>
      </x:c>
    </x:row>
    <x:row r="12">
      <x:c r="A12" s="11" t="s">
        <x:v>307</x:v>
      </x:c>
      <x:c r="B12" s="15" t="s">
        <x:v>308</x:v>
      </x:c>
      <x:c r="C12" s="15" t="s">
        <x:v>309</x:v>
      </x:c>
      <x:c r="D12" s="12" t="str">
        <x:v>NOT_OBSERVED</x:v>
      </x:c>
      <x:c r="E12" s="12"/>
      <x:c r="F12" s="12" t="str">
        <x:v>NO</x:v>
      </x:c>
      <x:c r="G12" s="12" t="str">
        <x:v>NO</x:v>
      </x:c>
      <x:c r="H12" s="12" t="str">
        <x:v>YES</x:v>
      </x:c>
      <x:c r="I12" s="12" t="str">
        <x:v>Demian FLT-08 R4: UI no permitió cambiar Full 3D Targeting a No. Baseline confirmado restaurado/intacto: pipeline=0, Full 3D Targeting=Yes, Field Map File verificado con palomita verde.</x:v>
      </x:c>
      <x:c r="J12" s="15" t="str">
        <x:f t="shared" si="0"/>
        <x:v>BLOCKED</x:v>
      </x:c>
      <x:c r="K12" s="12" t="str">
        <x:v>FAULT_INJECTION_UNAVAILABLE</x:v>
      </x:c>
      <x:c r="L12" s="13" t="str">
        <x:v>Permanece BLOCKED en la tabla: no se inventa PASS. El test lead acepta cerrar MP-03 por excepción porque la inyección no es un escenario operativo de match. Auditoría de fuente 533efbab muestra que hasBotPose=false no impide Quality=VALID/isUsable(); MP-04 debe corregir/validar este gate antes de habilitar consumidores de pose.</x:v>
      </x:c>
    </x:row>
  </x:sheetData>
  <x:mergeCells>
    <x:mergeCell ref="A1:L1"/>
    <x:mergeCell ref="A2:L2"/>
  </x:mergeCells>
  <x:conditionalFormatting sqref="J5:J12">
    <x:cfRule type="cellIs" dxfId="15" priority="1" stopIfTrue="1" operator="equal">
      <x:formula>"PASS"</x:formula>
    </x:cfRule>
    <x:cfRule type="cellIs" dxfId="14" priority="2" stopIfTrue="1" operator="equal">
      <x:formula>"FAIL"</x:formula>
    </x:cfRule>
    <x:cfRule type="cellIs" dxfId="13" priority="3" stopIfTrue="1" operator="equal">
      <x:formula>"BLOCKED"</x:formula>
    </x:cfRule>
    <x:cfRule type="cellIs" dxfId="12" priority="4" stopIfTrue="1" operator="equal">
      <x:formula>"ABORTED"</x:formula>
    </x:cfRule>
  </x:conditionalFormatting>
  <x:dataValidations count="2">
    <x:dataValidation type="list" allowBlank="1" showInputMessage="1" showErrorMessage="1" sqref="E5:E12 F5:F12 G5:G12 H5:H12">
      <x:formula1>"""YES,NO"""</x:formula1>
    </x:dataValidation>
    <x:dataValidation type="list" allowBlank="1" showInputMessage="1" showErrorMessage="1" sqref="J5:J12">
      <x:formula1>"""NOT_RUN,IN_PROGRESS,PASS,FAIL,BLOCKED,ABORTED,INVALID_DATA,NOT_APPLICABLE"""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daaec92c534d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10" defaultColWidth="18.77734375" defaultRowHeight="14.399999618530273"/>
  <x:cols>
    <x:col min="15" max="15" width="28.77734375" customWidth="1"/>
    <x:col min="17" max="17" width="35.77734375" customWidth="1"/>
  </x:cols>
  <x:sheetData>
    <x:row r="1" ht="30" customHeight="1">
      <x:c r="A1" s="19" t="s">
        <x:v>310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 ht="36" customHeight="1">
      <x:c r="A2" s="20" t="s">
        <x:v>311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4" ht="31.950000762939453" customHeight="1">
      <x:c r="A4" s="7" t="s">
        <x:v>225</x:v>
      </x:c>
      <x:c r="B4" s="8" t="s">
        <x:v>49</x:v>
      </x:c>
      <x:c r="C4" s="8" t="s">
        <x:v>226</x:v>
      </x:c>
      <x:c r="D4" s="8" t="s">
        <x:v>312</x:v>
      </x:c>
      <x:c r="E4" s="8" t="s">
        <x:v>313</x:v>
      </x:c>
      <x:c r="F4" s="8" t="s">
        <x:v>314</x:v>
      </x:c>
      <x:c r="G4" s="8" t="s">
        <x:v>315</x:v>
      </x:c>
      <x:c r="H4" s="8" t="s">
        <x:v>316</x:v>
      </x:c>
      <x:c r="I4" s="8" t="s">
        <x:v>317</x:v>
      </x:c>
      <x:c r="J4" s="8" t="s">
        <x:v>318</x:v>
      </x:c>
      <x:c r="K4" s="8" t="s">
        <x:v>319</x:v>
      </x:c>
      <x:c r="L4" s="8" t="s">
        <x:v>320</x:v>
      </x:c>
      <x:c r="M4" s="8" t="s">
        <x:v>321</x:v>
      </x:c>
      <x:c r="N4" s="8" t="s">
        <x:v>232</x:v>
      </x:c>
      <x:c r="O4" s="8" t="s">
        <x:v>167</x:v>
      </x:c>
      <x:c r="P4" s="8" t="s">
        <x:v>128</x:v>
      </x:c>
      <x:c r="Q4" s="10" t="s">
        <x:v>169</x:v>
      </x:c>
    </x:row>
    <x:row r="5">
      <x:c r="A5" s="6" t="s">
        <x:v>322</x:v>
      </x:c>
      <x:c r="B5" s="4" t="str">
        <x:v>R4</x:v>
      </x:c>
      <x:c r="C5" s="2"/>
      <x:c r="D5" s="2"/>
      <x:c r="E5" s="2"/>
      <x:c r="F5" s="2"/>
      <x:c r="G5" s="2"/>
      <x:c r="H5" s="2"/>
      <x:c r="I5" s="2"/>
      <x:c r="J5" s="4" t="str">
        <x:f t="shared" ref="J5:J24" si="0">IF(OR(D5="",G5=""),"",G5-D5)</x:f>
      </x:c>
      <x:c r="K5" s="4" t="str">
        <x:f t="shared" ref="K5:K24" si="1">IF(OR(E5="",H5=""),"",H5-E5)</x:f>
      </x:c>
      <x:c r="L5" s="4" t="str">
        <x:f t="shared" ref="L5:L24" si="2">IF(OR(J5="",K5=""),"",SQRT(J5^2+K5^2))</x:f>
      </x:c>
      <x:c r="M5" s="4" t="str">
        <x:f t="shared" ref="M5:M24" si="3">IF(OR(F5="",I5=""),"",MOD(I5-F5+180,360)-180)</x:f>
      </x:c>
      <x:c r="N5" s="2"/>
      <x:c r="O5" s="2"/>
      <x:c r="P5" s="2" t="s">
        <x:v>134</x:v>
      </x:c>
      <x:c r="Q5" s="9" t="str">
        <x:v>NOT_RUN y diferido por decisión del test lead. Esta prueba compara una pose física medida (X/Y/heading) contra Botpose con el robot quieto; no mueve actuadores. Debe ejecutarse en shadow antes de permitir corrección de robotPose.</x:v>
      </x:c>
    </x:row>
    <x:row r="6">
      <x:c r="A6" s="6" t="s">
        <x:v>323</x:v>
      </x:c>
      <x:c r="B6" s="4" t="str">
        <x:v>R4</x:v>
      </x:c>
      <x:c r="C6" s="2"/>
      <x:c r="D6" s="2"/>
      <x:c r="E6" s="2"/>
      <x:c r="F6" s="2"/>
      <x:c r="G6" s="2"/>
      <x:c r="H6" s="2"/>
      <x:c r="I6" s="2"/>
      <x:c r="J6" s="4" t="str">
        <x:f t="shared" si="0"/>
      </x:c>
      <x:c r="K6" s="4" t="str">
        <x:f t="shared" si="1"/>
      </x:c>
      <x:c r="L6" s="4" t="str">
        <x:f t="shared" si="2"/>
      </x:c>
      <x:c r="M6" s="4" t="str">
        <x:f t="shared" si="3"/>
      </x:c>
      <x:c r="N6" s="2"/>
      <x:c r="O6" s="2"/>
      <x:c r="P6" s="2" t="s">
        <x:v>134</x:v>
      </x:c>
      <x:c r="Q6" s="9"/>
    </x:row>
    <x:row r="7">
      <x:c r="A7" s="6" t="s">
        <x:v>324</x:v>
      </x:c>
      <x:c r="B7" s="4" t="str">
        <x:v>R4</x:v>
      </x:c>
      <x:c r="C7" s="2"/>
      <x:c r="D7" s="2"/>
      <x:c r="E7" s="2"/>
      <x:c r="F7" s="2"/>
      <x:c r="G7" s="2"/>
      <x:c r="H7" s="2"/>
      <x:c r="I7" s="2"/>
      <x:c r="J7" s="4" t="str">
        <x:f t="shared" si="0"/>
      </x:c>
      <x:c r="K7" s="4" t="str">
        <x:f t="shared" si="1"/>
      </x:c>
      <x:c r="L7" s="4" t="str">
        <x:f t="shared" si="2"/>
      </x:c>
      <x:c r="M7" s="4" t="str">
        <x:f t="shared" si="3"/>
      </x:c>
      <x:c r="N7" s="2"/>
      <x:c r="O7" s="2"/>
      <x:c r="P7" s="2" t="s">
        <x:v>134</x:v>
      </x:c>
      <x:c r="Q7" s="9"/>
    </x:row>
    <x:row r="8">
      <x:c r="A8" s="6" t="s">
        <x:v>325</x:v>
      </x:c>
      <x:c r="B8" s="4" t="str">
        <x:v>R4</x:v>
      </x:c>
      <x:c r="C8" s="2"/>
      <x:c r="D8" s="2"/>
      <x:c r="E8" s="2"/>
      <x:c r="F8" s="2"/>
      <x:c r="G8" s="2"/>
      <x:c r="H8" s="2"/>
      <x:c r="I8" s="2"/>
      <x:c r="J8" s="4" t="str">
        <x:f t="shared" si="0"/>
      </x:c>
      <x:c r="K8" s="4" t="str">
        <x:f t="shared" si="1"/>
      </x:c>
      <x:c r="L8" s="4" t="str">
        <x:f t="shared" si="2"/>
      </x:c>
      <x:c r="M8" s="4" t="str">
        <x:f t="shared" si="3"/>
      </x:c>
      <x:c r="N8" s="2"/>
      <x:c r="O8" s="2"/>
      <x:c r="P8" s="2" t="s">
        <x:v>134</x:v>
      </x:c>
      <x:c r="Q8" s="9"/>
    </x:row>
    <x:row r="9">
      <x:c r="A9" s="6" t="s">
        <x:v>326</x:v>
      </x:c>
      <x:c r="B9" s="4" t="str">
        <x:v>R4</x:v>
      </x:c>
      <x:c r="C9" s="2"/>
      <x:c r="D9" s="2"/>
      <x:c r="E9" s="2"/>
      <x:c r="F9" s="2"/>
      <x:c r="G9" s="2"/>
      <x:c r="H9" s="2"/>
      <x:c r="I9" s="2"/>
      <x:c r="J9" s="4" t="str">
        <x:f t="shared" si="0"/>
      </x:c>
      <x:c r="K9" s="4" t="str">
        <x:f t="shared" si="1"/>
      </x:c>
      <x:c r="L9" s="4" t="str">
        <x:f t="shared" si="2"/>
      </x:c>
      <x:c r="M9" s="4" t="str">
        <x:f t="shared" si="3"/>
      </x:c>
      <x:c r="N9" s="2"/>
      <x:c r="O9" s="2"/>
      <x:c r="P9" s="2" t="s">
        <x:v>134</x:v>
      </x:c>
      <x:c r="Q9" s="9"/>
    </x:row>
    <x:row r="10">
      <x:c r="A10" s="6" t="s">
        <x:v>327</x:v>
      </x:c>
      <x:c r="B10" s="4" t="str">
        <x:v>R4</x:v>
      </x:c>
      <x:c r="C10" s="2"/>
      <x:c r="D10" s="2"/>
      <x:c r="E10" s="2"/>
      <x:c r="F10" s="2"/>
      <x:c r="G10" s="2"/>
      <x:c r="H10" s="2"/>
      <x:c r="I10" s="2"/>
      <x:c r="J10" s="4" t="str">
        <x:f t="shared" si="0"/>
      </x:c>
      <x:c r="K10" s="4" t="str">
        <x:f t="shared" si="1"/>
      </x:c>
      <x:c r="L10" s="4" t="str">
        <x:f t="shared" si="2"/>
      </x:c>
      <x:c r="M10" s="4" t="str">
        <x:f t="shared" si="3"/>
      </x:c>
      <x:c r="N10" s="2"/>
      <x:c r="O10" s="2"/>
      <x:c r="P10" s="2" t="s">
        <x:v>134</x:v>
      </x:c>
      <x:c r="Q10" s="9"/>
    </x:row>
    <x:row r="11">
      <x:c r="A11" s="6" t="s">
        <x:v>328</x:v>
      </x:c>
      <x:c r="B11" s="4" t="str">
        <x:v>R4</x:v>
      </x:c>
      <x:c r="C11" s="2"/>
      <x:c r="D11" s="2"/>
      <x:c r="E11" s="2"/>
      <x:c r="F11" s="2"/>
      <x:c r="G11" s="2"/>
      <x:c r="H11" s="2"/>
      <x:c r="I11" s="2"/>
      <x:c r="J11" s="4" t="str">
        <x:f t="shared" si="0"/>
      </x:c>
      <x:c r="K11" s="4" t="str">
        <x:f t="shared" si="1"/>
      </x:c>
      <x:c r="L11" s="4" t="str">
        <x:f t="shared" si="2"/>
      </x:c>
      <x:c r="M11" s="4" t="str">
        <x:f t="shared" si="3"/>
      </x:c>
      <x:c r="N11" s="2"/>
      <x:c r="O11" s="2"/>
      <x:c r="P11" s="2" t="s">
        <x:v>134</x:v>
      </x:c>
      <x:c r="Q11" s="9"/>
    </x:row>
    <x:row r="12">
      <x:c r="A12" s="6" t="s">
        <x:v>329</x:v>
      </x:c>
      <x:c r="B12" s="4" t="str">
        <x:v>R4</x:v>
      </x:c>
      <x:c r="C12" s="2"/>
      <x:c r="D12" s="2"/>
      <x:c r="E12" s="2"/>
      <x:c r="F12" s="2"/>
      <x:c r="G12" s="2"/>
      <x:c r="H12" s="2"/>
      <x:c r="I12" s="2"/>
      <x:c r="J12" s="4" t="str">
        <x:f t="shared" si="0"/>
      </x:c>
      <x:c r="K12" s="4" t="str">
        <x:f t="shared" si="1"/>
      </x:c>
      <x:c r="L12" s="4" t="str">
        <x:f t="shared" si="2"/>
      </x:c>
      <x:c r="M12" s="4" t="str">
        <x:f t="shared" si="3"/>
      </x:c>
      <x:c r="N12" s="2"/>
      <x:c r="O12" s="2"/>
      <x:c r="P12" s="2" t="s">
        <x:v>134</x:v>
      </x:c>
      <x:c r="Q12" s="9"/>
    </x:row>
    <x:row r="13">
      <x:c r="A13" s="6" t="s">
        <x:v>330</x:v>
      </x:c>
      <x:c r="B13" s="4" t="str">
        <x:v>R4</x:v>
      </x:c>
      <x:c r="C13" s="2"/>
      <x:c r="D13" s="2"/>
      <x:c r="E13" s="2"/>
      <x:c r="F13" s="2"/>
      <x:c r="G13" s="2"/>
      <x:c r="H13" s="2"/>
      <x:c r="I13" s="2"/>
      <x:c r="J13" s="4" t="str">
        <x:f t="shared" si="0"/>
      </x:c>
      <x:c r="K13" s="4" t="str">
        <x:f t="shared" si="1"/>
      </x:c>
      <x:c r="L13" s="4" t="str">
        <x:f t="shared" si="2"/>
      </x:c>
      <x:c r="M13" s="4" t="str">
        <x:f t="shared" si="3"/>
      </x:c>
      <x:c r="N13" s="2"/>
      <x:c r="O13" s="2"/>
      <x:c r="P13" s="2" t="s">
        <x:v>134</x:v>
      </x:c>
      <x:c r="Q13" s="9"/>
    </x:row>
    <x:row r="14">
      <x:c r="A14" s="6" t="s">
        <x:v>331</x:v>
      </x:c>
      <x:c r="B14" s="4" t="str">
        <x:v>R4</x:v>
      </x:c>
      <x:c r="C14" s="2"/>
      <x:c r="D14" s="2"/>
      <x:c r="E14" s="2"/>
      <x:c r="F14" s="2"/>
      <x:c r="G14" s="2"/>
      <x:c r="H14" s="2"/>
      <x:c r="I14" s="2"/>
      <x:c r="J14" s="4" t="str">
        <x:f t="shared" si="0"/>
      </x:c>
      <x:c r="K14" s="4" t="str">
        <x:f t="shared" si="1"/>
      </x:c>
      <x:c r="L14" s="4" t="str">
        <x:f t="shared" si="2"/>
      </x:c>
      <x:c r="M14" s="4" t="str">
        <x:f t="shared" si="3"/>
      </x:c>
      <x:c r="N14" s="2"/>
      <x:c r="O14" s="2"/>
      <x:c r="P14" s="2" t="s">
        <x:v>134</x:v>
      </x:c>
      <x:c r="Q14" s="9"/>
    </x:row>
    <x:row r="15">
      <x:c r="A15" s="6" t="s">
        <x:v>332</x:v>
      </x:c>
      <x:c r="B15" s="4" t="str">
        <x:v>R4</x:v>
      </x:c>
      <x:c r="C15" s="2"/>
      <x:c r="D15" s="2"/>
      <x:c r="E15" s="2"/>
      <x:c r="F15" s="2"/>
      <x:c r="G15" s="2"/>
      <x:c r="H15" s="2"/>
      <x:c r="I15" s="2"/>
      <x:c r="J15" s="4" t="str">
        <x:f t="shared" si="0"/>
      </x:c>
      <x:c r="K15" s="4" t="str">
        <x:f t="shared" si="1"/>
      </x:c>
      <x:c r="L15" s="4" t="str">
        <x:f t="shared" si="2"/>
      </x:c>
      <x:c r="M15" s="4" t="str">
        <x:f t="shared" si="3"/>
      </x:c>
      <x:c r="N15" s="2"/>
      <x:c r="O15" s="2"/>
      <x:c r="P15" s="2" t="s">
        <x:v>134</x:v>
      </x:c>
      <x:c r="Q15" s="9"/>
    </x:row>
    <x:row r="16">
      <x:c r="A16" s="6" t="s">
        <x:v>333</x:v>
      </x:c>
      <x:c r="B16" s="4" t="str">
        <x:v>R4</x:v>
      </x:c>
      <x:c r="C16" s="2"/>
      <x:c r="D16" s="2"/>
      <x:c r="E16" s="2"/>
      <x:c r="F16" s="2"/>
      <x:c r="G16" s="2"/>
      <x:c r="H16" s="2"/>
      <x:c r="I16" s="2"/>
      <x:c r="J16" s="4" t="str">
        <x:f t="shared" si="0"/>
      </x:c>
      <x:c r="K16" s="4" t="str">
        <x:f t="shared" si="1"/>
      </x:c>
      <x:c r="L16" s="4" t="str">
        <x:f t="shared" si="2"/>
      </x:c>
      <x:c r="M16" s="4" t="str">
        <x:f t="shared" si="3"/>
      </x:c>
      <x:c r="N16" s="2"/>
      <x:c r="O16" s="2"/>
      <x:c r="P16" s="2" t="s">
        <x:v>134</x:v>
      </x:c>
      <x:c r="Q16" s="9"/>
    </x:row>
    <x:row r="17">
      <x:c r="A17" s="6" t="s">
        <x:v>334</x:v>
      </x:c>
      <x:c r="B17" s="4" t="str">
        <x:v>R4</x:v>
      </x:c>
      <x:c r="C17" s="2"/>
      <x:c r="D17" s="2"/>
      <x:c r="E17" s="2"/>
      <x:c r="F17" s="2"/>
      <x:c r="G17" s="2"/>
      <x:c r="H17" s="2"/>
      <x:c r="I17" s="2"/>
      <x:c r="J17" s="4" t="str">
        <x:f t="shared" si="0"/>
      </x:c>
      <x:c r="K17" s="4" t="str">
        <x:f t="shared" si="1"/>
      </x:c>
      <x:c r="L17" s="4" t="str">
        <x:f t="shared" si="2"/>
      </x:c>
      <x:c r="M17" s="4" t="str">
        <x:f t="shared" si="3"/>
      </x:c>
      <x:c r="N17" s="2"/>
      <x:c r="O17" s="2"/>
      <x:c r="P17" s="2" t="s">
        <x:v>134</x:v>
      </x:c>
      <x:c r="Q17" s="9"/>
    </x:row>
    <x:row r="18">
      <x:c r="A18" s="6" t="s">
        <x:v>335</x:v>
      </x:c>
      <x:c r="B18" s="4" t="str">
        <x:v>R4</x:v>
      </x:c>
      <x:c r="C18" s="2"/>
      <x:c r="D18" s="2"/>
      <x:c r="E18" s="2"/>
      <x:c r="F18" s="2"/>
      <x:c r="G18" s="2"/>
      <x:c r="H18" s="2"/>
      <x:c r="I18" s="2"/>
      <x:c r="J18" s="4" t="str">
        <x:f t="shared" si="0"/>
      </x:c>
      <x:c r="K18" s="4" t="str">
        <x:f t="shared" si="1"/>
      </x:c>
      <x:c r="L18" s="4" t="str">
        <x:f t="shared" si="2"/>
      </x:c>
      <x:c r="M18" s="4" t="str">
        <x:f t="shared" si="3"/>
      </x:c>
      <x:c r="N18" s="2"/>
      <x:c r="O18" s="2"/>
      <x:c r="P18" s="2" t="s">
        <x:v>134</x:v>
      </x:c>
      <x:c r="Q18" s="9"/>
    </x:row>
    <x:row r="19">
      <x:c r="A19" s="6" t="s">
        <x:v>336</x:v>
      </x:c>
      <x:c r="B19" s="4" t="str">
        <x:v>R4</x:v>
      </x:c>
      <x:c r="C19" s="2"/>
      <x:c r="D19" s="2"/>
      <x:c r="E19" s="2"/>
      <x:c r="F19" s="2"/>
      <x:c r="G19" s="2"/>
      <x:c r="H19" s="2"/>
      <x:c r="I19" s="2"/>
      <x:c r="J19" s="4" t="str">
        <x:f t="shared" si="0"/>
      </x:c>
      <x:c r="K19" s="4" t="str">
        <x:f t="shared" si="1"/>
      </x:c>
      <x:c r="L19" s="4" t="str">
        <x:f t="shared" si="2"/>
      </x:c>
      <x:c r="M19" s="4" t="str">
        <x:f t="shared" si="3"/>
      </x:c>
      <x:c r="N19" s="2"/>
      <x:c r="O19" s="2"/>
      <x:c r="P19" s="2" t="s">
        <x:v>134</x:v>
      </x:c>
      <x:c r="Q19" s="9"/>
    </x:row>
    <x:row r="20">
      <x:c r="A20" s="6" t="s">
        <x:v>337</x:v>
      </x:c>
      <x:c r="B20" s="4" t="str">
        <x:v>R4</x:v>
      </x:c>
      <x:c r="C20" s="2"/>
      <x:c r="D20" s="2"/>
      <x:c r="E20" s="2"/>
      <x:c r="F20" s="2"/>
      <x:c r="G20" s="2"/>
      <x:c r="H20" s="2"/>
      <x:c r="I20" s="2"/>
      <x:c r="J20" s="4" t="str">
        <x:f t="shared" si="0"/>
      </x:c>
      <x:c r="K20" s="4" t="str">
        <x:f t="shared" si="1"/>
      </x:c>
      <x:c r="L20" s="4" t="str">
        <x:f t="shared" si="2"/>
      </x:c>
      <x:c r="M20" s="4" t="str">
        <x:f t="shared" si="3"/>
      </x:c>
      <x:c r="N20" s="2"/>
      <x:c r="O20" s="2"/>
      <x:c r="P20" s="2" t="s">
        <x:v>134</x:v>
      </x:c>
      <x:c r="Q20" s="9"/>
    </x:row>
    <x:row r="21">
      <x:c r="A21" s="6" t="s">
        <x:v>338</x:v>
      </x:c>
      <x:c r="B21" s="4" t="str">
        <x:v>R4</x:v>
      </x:c>
      <x:c r="C21" s="2"/>
      <x:c r="D21" s="2"/>
      <x:c r="E21" s="2"/>
      <x:c r="F21" s="2"/>
      <x:c r="G21" s="2"/>
      <x:c r="H21" s="2"/>
      <x:c r="I21" s="2"/>
      <x:c r="J21" s="4" t="str">
        <x:f t="shared" si="0"/>
      </x:c>
      <x:c r="K21" s="4" t="str">
        <x:f t="shared" si="1"/>
      </x:c>
      <x:c r="L21" s="4" t="str">
        <x:f t="shared" si="2"/>
      </x:c>
      <x:c r="M21" s="4" t="str">
        <x:f t="shared" si="3"/>
      </x:c>
      <x:c r="N21" s="2"/>
      <x:c r="O21" s="2"/>
      <x:c r="P21" s="2" t="s">
        <x:v>134</x:v>
      </x:c>
      <x:c r="Q21" s="9"/>
    </x:row>
    <x:row r="22">
      <x:c r="A22" s="6" t="s">
        <x:v>339</x:v>
      </x:c>
      <x:c r="B22" s="4" t="str">
        <x:v>R4</x:v>
      </x:c>
      <x:c r="C22" s="2"/>
      <x:c r="D22" s="2"/>
      <x:c r="E22" s="2"/>
      <x:c r="F22" s="2"/>
      <x:c r="G22" s="2"/>
      <x:c r="H22" s="2"/>
      <x:c r="I22" s="2"/>
      <x:c r="J22" s="4" t="str">
        <x:f t="shared" si="0"/>
      </x:c>
      <x:c r="K22" s="4" t="str">
        <x:f t="shared" si="1"/>
      </x:c>
      <x:c r="L22" s="4" t="str">
        <x:f t="shared" si="2"/>
      </x:c>
      <x:c r="M22" s="4" t="str">
        <x:f t="shared" si="3"/>
      </x:c>
      <x:c r="N22" s="2"/>
      <x:c r="O22" s="2"/>
      <x:c r="P22" s="2" t="s">
        <x:v>134</x:v>
      </x:c>
      <x:c r="Q22" s="9"/>
    </x:row>
    <x:row r="23">
      <x:c r="A23" s="6" t="s">
        <x:v>340</x:v>
      </x:c>
      <x:c r="B23" s="4" t="str">
        <x:v>R4</x:v>
      </x:c>
      <x:c r="C23" s="2"/>
      <x:c r="D23" s="2"/>
      <x:c r="E23" s="2"/>
      <x:c r="F23" s="2"/>
      <x:c r="G23" s="2"/>
      <x:c r="H23" s="2"/>
      <x:c r="I23" s="2"/>
      <x:c r="J23" s="4" t="str">
        <x:f t="shared" si="0"/>
      </x:c>
      <x:c r="K23" s="4" t="str">
        <x:f t="shared" si="1"/>
      </x:c>
      <x:c r="L23" s="4" t="str">
        <x:f t="shared" si="2"/>
      </x:c>
      <x:c r="M23" s="4" t="str">
        <x:f t="shared" si="3"/>
      </x:c>
      <x:c r="N23" s="2"/>
      <x:c r="O23" s="2"/>
      <x:c r="P23" s="2" t="s">
        <x:v>134</x:v>
      </x:c>
      <x:c r="Q23" s="9"/>
    </x:row>
    <x:row r="24">
      <x:c r="A24" s="11" t="s">
        <x:v>341</x:v>
      </x:c>
      <x:c r="B24" s="15" t="str">
        <x:v>R4</x:v>
      </x:c>
      <x:c r="C24" s="12"/>
      <x:c r="D24" s="12"/>
      <x:c r="E24" s="12"/>
      <x:c r="F24" s="12"/>
      <x:c r="G24" s="12"/>
      <x:c r="H24" s="12"/>
      <x:c r="I24" s="12"/>
      <x:c r="J24" s="15" t="str">
        <x:f t="shared" si="0"/>
      </x:c>
      <x:c r="K24" s="15" t="str">
        <x:f t="shared" si="1"/>
      </x:c>
      <x:c r="L24" s="15" t="str">
        <x:f t="shared" si="2"/>
      </x:c>
      <x:c r="M24" s="15" t="str">
        <x:f t="shared" si="3"/>
      </x:c>
      <x:c r="N24" s="12"/>
      <x:c r="O24" s="12"/>
      <x:c r="P24" s="12" t="s">
        <x:v>134</x:v>
      </x:c>
      <x:c r="Q24" s="13"/>
    </x:row>
  </x:sheetData>
  <x:mergeCells>
    <x:mergeCell ref="A1:Q1"/>
    <x:mergeCell ref="A2:Q2"/>
  </x:mergeCells>
  <x:conditionalFormatting sqref="P5:P24">
    <x:cfRule type="cellIs" dxfId="11" priority="1" stopIfTrue="1" operator="equal">
      <x:formula>"PASS"</x:formula>
    </x:cfRule>
    <x:cfRule type="cellIs" dxfId="10" priority="2" stopIfTrue="1" operator="equal">
      <x:formula>"FAIL"</x:formula>
    </x:cfRule>
    <x:cfRule type="cellIs" dxfId="9" priority="3" stopIfTrue="1" operator="equal">
      <x:formula>"BLOCKED"</x:formula>
    </x:cfRule>
    <x:cfRule type="cellIs" dxfId="8" priority="4" stopIfTrue="1" operator="equal">
      <x:formula>"ABORTED"</x:formula>
    </x:cfRule>
  </x:conditionalFormatting>
  <x:dataValidations count="1">
    <x:dataValidation type="list" allowBlank="1" showInputMessage="1" showErrorMessage="1" sqref="P5:P24">
      <x:formula1>"""NOT_RUN,IN_PROGRESS,PASS,FAIL,BLOCKED,ABORTED,INVALID_DATA,NOT_APPLICABLE"""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4ea4a8b573442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10" defaultColWidth="18.77734375" defaultRowHeight="14.399999618530273"/>
  <x:cols>
    <x:col min="19" max="19" width="28.77734375" customWidth="1"/>
    <x:col min="20" max="20" width="35.77734375" customWidth="1"/>
  </x:cols>
  <x:sheetData>
    <x:row r="1" ht="30" customHeight="1">
      <x:c r="A1" s="19" t="s">
        <x:v>342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</x:row>
    <x:row r="2" ht="36" customHeight="1">
      <x:c r="A2" s="20" t="s">
        <x:v>343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</x:row>
    <x:row r="4" ht="31.950000762939453" customHeight="1">
      <x:c r="A4" s="7" t="s">
        <x:v>344</x:v>
      </x:c>
      <x:c r="B4" s="8" t="s">
        <x:v>345</x:v>
      </x:c>
      <x:c r="C4" s="8" t="s">
        <x:v>346</x:v>
      </x:c>
      <x:c r="D4" s="8" t="s">
        <x:v>347</x:v>
      </x:c>
      <x:c r="E4" s="8" t="s">
        <x:v>348</x:v>
      </x:c>
      <x:c r="F4" s="8" t="s">
        <x:v>349</x:v>
      </x:c>
      <x:c r="G4" s="8" t="s">
        <x:v>350</x:v>
      </x:c>
      <x:c r="H4" s="8" t="s">
        <x:v>351</x:v>
      </x:c>
      <x:c r="I4" s="8" t="s">
        <x:v>352</x:v>
      </x:c>
      <x:c r="J4" s="8" t="s">
        <x:v>225</x:v>
      </x:c>
      <x:c r="K4" s="8" t="s">
        <x:v>49</x:v>
      </x:c>
      <x:c r="L4" s="8" t="s">
        <x:v>353</x:v>
      </x:c>
      <x:c r="M4" s="8" t="s">
        <x:v>354</x:v>
      </x:c>
      <x:c r="N4" s="8" t="s">
        <x:v>355</x:v>
      </x:c>
      <x:c r="O4" s="8" t="s">
        <x:v>356</x:v>
      </x:c>
      <x:c r="P4" s="8" t="s">
        <x:v>357</x:v>
      </x:c>
      <x:c r="Q4" s="8" t="s">
        <x:v>358</x:v>
      </x:c>
      <x:c r="R4" s="8" t="s">
        <x:v>359</x:v>
      </x:c>
      <x:c r="S4" s="8" t="s">
        <x:v>167</x:v>
      </x:c>
      <x:c r="T4" s="8" t="s">
        <x:v>169</x:v>
      </x:c>
      <x:c r="U4" s="8" t="s">
        <x:v>360</x:v>
      </x:c>
      <x:c r="V4" s="10" t="s">
        <x:v>361</x:v>
      </x:c>
    </x:row>
    <x:row r="5">
      <x:c r="A5" s="17"/>
      <x:c r="B5" s="2"/>
      <x:c r="C5" s="2"/>
      <x:c r="D5" s="2"/>
      <x:c r="E5" s="2"/>
      <x:c r="F5" s="2"/>
      <x:c r="G5" s="2"/>
      <x:c r="H5" s="2"/>
      <x:c r="I5" s="2"/>
      <x:c r="J5" s="4" t="s">
        <x:v>362</x:v>
      </x:c>
      <x:c r="K5" s="4" t="s">
        <x:v>363</x:v>
      </x:c>
      <x:c r="L5" s="2"/>
      <x:c r="M5" s="2"/>
      <x:c r="N5" s="2"/>
      <x:c r="O5" s="2"/>
      <x:c r="P5" s="2"/>
      <x:c r="Q5" s="2"/>
      <x:c r="R5" s="2"/>
      <x:c r="S5" s="2"/>
      <x:c r="T5" s="2"/>
      <x:c r="U5" s="4" t="str">
        <x:f t="shared" ref="U5:U36" si="0">IF(OR(F5="",G5=""),"",ABS(G5-F5))</x:f>
      </x:c>
      <x:c r="V5" s="14" t="str">
        <x:f>IF(A5="","",IF(AND(U5&lt;=CONFIG!B11,H5&gt;=CONFIG!B12),"PASS","FAIL"))</x:f>
      </x:c>
    </x:row>
    <x:row r="6">
      <x:c r="A6" s="17"/>
      <x:c r="B6" s="2"/>
      <x:c r="C6" s="2"/>
      <x:c r="D6" s="2"/>
      <x:c r="E6" s="2"/>
      <x:c r="F6" s="2"/>
      <x:c r="G6" s="2"/>
      <x:c r="H6" s="2"/>
      <x:c r="I6" s="2"/>
      <x:c r="J6" s="4" t="s">
        <x:v>364</x:v>
      </x:c>
      <x:c r="K6" s="4" t="s">
        <x:v>363</x:v>
      </x:c>
      <x:c r="L6" s="2"/>
      <x:c r="M6" s="2"/>
      <x:c r="N6" s="2"/>
      <x:c r="O6" s="2"/>
      <x:c r="P6" s="2"/>
      <x:c r="Q6" s="2"/>
      <x:c r="R6" s="2"/>
      <x:c r="S6" s="2"/>
      <x:c r="T6" s="2"/>
      <x:c r="U6" s="4" t="str">
        <x:f t="shared" si="0"/>
      </x:c>
      <x:c r="V6" s="14" t="str">
        <x:f>IF(A6="","",IF(AND(U6&lt;=CONFIG!B11,H6&gt;=CONFIG!B12),"PASS","FAIL"))</x:f>
      </x:c>
    </x:row>
    <x:row r="7">
      <x:c r="A7" s="17"/>
      <x:c r="B7" s="2"/>
      <x:c r="C7" s="2"/>
      <x:c r="D7" s="2"/>
      <x:c r="E7" s="2"/>
      <x:c r="F7" s="2"/>
      <x:c r="G7" s="2"/>
      <x:c r="H7" s="2"/>
      <x:c r="I7" s="2"/>
      <x:c r="J7" s="4" t="s">
        <x:v>365</x:v>
      </x:c>
      <x:c r="K7" s="4" t="s">
        <x:v>363</x:v>
      </x:c>
      <x:c r="L7" s="2"/>
      <x:c r="M7" s="2"/>
      <x:c r="N7" s="2"/>
      <x:c r="O7" s="2"/>
      <x:c r="P7" s="2"/>
      <x:c r="Q7" s="2"/>
      <x:c r="R7" s="2"/>
      <x:c r="S7" s="2"/>
      <x:c r="T7" s="2"/>
      <x:c r="U7" s="4" t="str">
        <x:f t="shared" si="0"/>
      </x:c>
      <x:c r="V7" s="14" t="str">
        <x:f>IF(A7="","",IF(AND(U7&lt;=CONFIG!B11,H7&gt;=CONFIG!B12),"PASS","FAIL"))</x:f>
      </x:c>
    </x:row>
    <x:row r="8">
      <x:c r="A8" s="17"/>
      <x:c r="B8" s="2"/>
      <x:c r="C8" s="2"/>
      <x:c r="D8" s="2"/>
      <x:c r="E8" s="2"/>
      <x:c r="F8" s="2"/>
      <x:c r="G8" s="2"/>
      <x:c r="H8" s="2"/>
      <x:c r="I8" s="2"/>
      <x:c r="J8" s="4" t="s">
        <x:v>366</x:v>
      </x:c>
      <x:c r="K8" s="4" t="s">
        <x:v>363</x:v>
      </x:c>
      <x:c r="L8" s="2"/>
      <x:c r="M8" s="2"/>
      <x:c r="N8" s="2"/>
      <x:c r="O8" s="2"/>
      <x:c r="P8" s="2"/>
      <x:c r="Q8" s="2"/>
      <x:c r="R8" s="2"/>
      <x:c r="S8" s="2"/>
      <x:c r="T8" s="2"/>
      <x:c r="U8" s="4" t="str">
        <x:f t="shared" si="0"/>
      </x:c>
      <x:c r="V8" s="14" t="str">
        <x:f>IF(A8="","",IF(AND(U8&lt;=CONFIG!B11,H8&gt;=CONFIG!B12),"PASS","FAIL"))</x:f>
      </x:c>
    </x:row>
    <x:row r="9">
      <x:c r="A9" s="17"/>
      <x:c r="B9" s="2"/>
      <x:c r="C9" s="2"/>
      <x:c r="D9" s="2"/>
      <x:c r="E9" s="2"/>
      <x:c r="F9" s="2"/>
      <x:c r="G9" s="2"/>
      <x:c r="H9" s="2"/>
      <x:c r="I9" s="2"/>
      <x:c r="J9" s="4" t="s">
        <x:v>367</x:v>
      </x:c>
      <x:c r="K9" s="4" t="s">
        <x:v>363</x:v>
      </x:c>
      <x:c r="L9" s="2"/>
      <x:c r="M9" s="2"/>
      <x:c r="N9" s="2"/>
      <x:c r="O9" s="2"/>
      <x:c r="P9" s="2"/>
      <x:c r="Q9" s="2"/>
      <x:c r="R9" s="2"/>
      <x:c r="S9" s="2"/>
      <x:c r="T9" s="2"/>
      <x:c r="U9" s="4" t="str">
        <x:f t="shared" si="0"/>
      </x:c>
      <x:c r="V9" s="14" t="str">
        <x:f>IF(A9="","",IF(AND(U9&lt;=CONFIG!B11,H9&gt;=CONFIG!B12),"PASS","FAIL"))</x:f>
      </x:c>
    </x:row>
    <x:row r="10">
      <x:c r="A10" s="17"/>
      <x:c r="B10" s="2"/>
      <x:c r="C10" s="2"/>
      <x:c r="D10" s="2"/>
      <x:c r="E10" s="2"/>
      <x:c r="F10" s="2"/>
      <x:c r="G10" s="2"/>
      <x:c r="H10" s="2"/>
      <x:c r="I10" s="2"/>
      <x:c r="J10" s="4" t="s">
        <x:v>368</x:v>
      </x:c>
      <x:c r="K10" s="4" t="s">
        <x:v>363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4" t="str">
        <x:f t="shared" si="0"/>
      </x:c>
      <x:c r="V10" s="14" t="str">
        <x:f>IF(A10="","",IF(AND(U10&lt;=CONFIG!B11,H10&gt;=CONFIG!B12),"PASS","FAIL"))</x:f>
      </x:c>
    </x:row>
    <x:row r="11">
      <x:c r="A11" s="17"/>
      <x:c r="B11" s="2"/>
      <x:c r="C11" s="2"/>
      <x:c r="D11" s="2"/>
      <x:c r="E11" s="2"/>
      <x:c r="F11" s="2"/>
      <x:c r="G11" s="2"/>
      <x:c r="H11" s="2"/>
      <x:c r="I11" s="2"/>
      <x:c r="J11" s="4" t="s">
        <x:v>369</x:v>
      </x:c>
      <x:c r="K11" s="4" t="s">
        <x:v>363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4" t="str">
        <x:f t="shared" si="0"/>
      </x:c>
      <x:c r="V11" s="14" t="str">
        <x:f>IF(A11="","",IF(AND(U11&lt;=CONFIG!B11,H11&gt;=CONFIG!B12),"PASS","FAIL"))</x:f>
      </x:c>
    </x:row>
    <x:row r="12">
      <x:c r="A12" s="17"/>
      <x:c r="B12" s="2"/>
      <x:c r="C12" s="2"/>
      <x:c r="D12" s="2"/>
      <x:c r="E12" s="2"/>
      <x:c r="F12" s="2"/>
      <x:c r="G12" s="2"/>
      <x:c r="H12" s="2"/>
      <x:c r="I12" s="2"/>
      <x:c r="J12" s="4" t="s">
        <x:v>370</x:v>
      </x:c>
      <x:c r="K12" s="4" t="s">
        <x:v>363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4" t="str">
        <x:f t="shared" si="0"/>
      </x:c>
      <x:c r="V12" s="14" t="str">
        <x:f>IF(A12="","",IF(AND(U12&lt;=CONFIG!B11,H12&gt;=CONFIG!B12),"PASS","FAIL"))</x:f>
      </x:c>
    </x:row>
    <x:row r="13">
      <x:c r="A13" s="17"/>
      <x:c r="B13" s="2"/>
      <x:c r="C13" s="2"/>
      <x:c r="D13" s="2"/>
      <x:c r="E13" s="2"/>
      <x:c r="F13" s="2"/>
      <x:c r="G13" s="2"/>
      <x:c r="H13" s="2"/>
      <x:c r="I13" s="2"/>
      <x:c r="J13" s="4" t="s">
        <x:v>371</x:v>
      </x:c>
      <x:c r="K13" s="4" t="s">
        <x:v>363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4" t="str">
        <x:f t="shared" si="0"/>
      </x:c>
      <x:c r="V13" s="14" t="str">
        <x:f>IF(A13="","",IF(AND(U13&lt;=CONFIG!B11,H13&gt;=CONFIG!B12),"PASS","FAIL"))</x:f>
      </x:c>
    </x:row>
    <x:row r="14">
      <x:c r="A14" s="17"/>
      <x:c r="B14" s="2"/>
      <x:c r="C14" s="2"/>
      <x:c r="D14" s="2"/>
      <x:c r="E14" s="2"/>
      <x:c r="F14" s="2"/>
      <x:c r="G14" s="2"/>
      <x:c r="H14" s="2"/>
      <x:c r="I14" s="2"/>
      <x:c r="J14" s="4" t="s">
        <x:v>372</x:v>
      </x:c>
      <x:c r="K14" s="4" t="s">
        <x:v>363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4" t="str">
        <x:f t="shared" si="0"/>
      </x:c>
      <x:c r="V14" s="14" t="str">
        <x:f>IF(A14="","",IF(AND(U14&lt;=CONFIG!B11,H14&gt;=CONFIG!B12),"PASS","FAIL"))</x:f>
      </x:c>
    </x:row>
    <x:row r="15">
      <x:c r="A15" s="17"/>
      <x:c r="B15" s="2"/>
      <x:c r="C15" s="2"/>
      <x:c r="D15" s="2"/>
      <x:c r="E15" s="2"/>
      <x:c r="F15" s="2"/>
      <x:c r="G15" s="2"/>
      <x:c r="H15" s="2"/>
      <x:c r="I15" s="2"/>
      <x:c r="J15" s="4" t="s">
        <x:v>373</x:v>
      </x:c>
      <x:c r="K15" s="4" t="s">
        <x:v>363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4" t="str">
        <x:f t="shared" si="0"/>
      </x:c>
      <x:c r="V15" s="14" t="str">
        <x:f>IF(A15="","",IF(AND(U15&lt;=CONFIG!B11,H15&gt;=CONFIG!B12),"PASS","FAIL"))</x:f>
      </x:c>
    </x:row>
    <x:row r="16">
      <x:c r="A16" s="17"/>
      <x:c r="B16" s="2"/>
      <x:c r="C16" s="2"/>
      <x:c r="D16" s="2"/>
      <x:c r="E16" s="2"/>
      <x:c r="F16" s="2"/>
      <x:c r="G16" s="2"/>
      <x:c r="H16" s="2"/>
      <x:c r="I16" s="2"/>
      <x:c r="J16" s="4" t="s">
        <x:v>374</x:v>
      </x:c>
      <x:c r="K16" s="4" t="s">
        <x:v>363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4" t="str">
        <x:f t="shared" si="0"/>
      </x:c>
      <x:c r="V16" s="14" t="str">
        <x:f>IF(A16="","",IF(AND(U16&lt;=CONFIG!B11,H16&gt;=CONFIG!B12),"PASS","FAIL"))</x:f>
      </x:c>
    </x:row>
    <x:row r="17">
      <x:c r="A17" s="17"/>
      <x:c r="B17" s="2"/>
      <x:c r="C17" s="2"/>
      <x:c r="D17" s="2"/>
      <x:c r="E17" s="2"/>
      <x:c r="F17" s="2"/>
      <x:c r="G17" s="2"/>
      <x:c r="H17" s="2"/>
      <x:c r="I17" s="2"/>
      <x:c r="J17" s="4" t="s">
        <x:v>375</x:v>
      </x:c>
      <x:c r="K17" s="4" t="s">
        <x:v>363</x:v>
      </x:c>
      <x:c r="L17" s="2"/>
      <x:c r="M17" s="2"/>
      <x:c r="N17" s="2"/>
      <x:c r="O17" s="2"/>
      <x:c r="P17" s="2"/>
      <x:c r="Q17" s="2"/>
      <x:c r="R17" s="2"/>
      <x:c r="S17" s="2"/>
      <x:c r="T17" s="2"/>
      <x:c r="U17" s="4" t="str">
        <x:f t="shared" si="0"/>
      </x:c>
      <x:c r="V17" s="14" t="str">
        <x:f>IF(A17="","",IF(AND(U17&lt;=CONFIG!B11,H17&gt;=CONFIG!B12),"PASS","FAIL"))</x:f>
      </x:c>
    </x:row>
    <x:row r="18">
      <x:c r="A18" s="17"/>
      <x:c r="B18" s="2"/>
      <x:c r="C18" s="2"/>
      <x:c r="D18" s="2"/>
      <x:c r="E18" s="2"/>
      <x:c r="F18" s="2"/>
      <x:c r="G18" s="2"/>
      <x:c r="H18" s="2"/>
      <x:c r="I18" s="2"/>
      <x:c r="J18" s="4" t="s">
        <x:v>376</x:v>
      </x:c>
      <x:c r="K18" s="4" t="s">
        <x:v>363</x:v>
      </x:c>
      <x:c r="L18" s="2"/>
      <x:c r="M18" s="2"/>
      <x:c r="N18" s="2"/>
      <x:c r="O18" s="2"/>
      <x:c r="P18" s="2"/>
      <x:c r="Q18" s="2"/>
      <x:c r="R18" s="2"/>
      <x:c r="S18" s="2"/>
      <x:c r="T18" s="2"/>
      <x:c r="U18" s="4" t="str">
        <x:f t="shared" si="0"/>
      </x:c>
      <x:c r="V18" s="14" t="str">
        <x:f>IF(A18="","",IF(AND(U18&lt;=CONFIG!B11,H18&gt;=CONFIG!B12),"PASS","FAIL"))</x:f>
      </x:c>
    </x:row>
    <x:row r="19">
      <x:c r="A19" s="17"/>
      <x:c r="B19" s="2"/>
      <x:c r="C19" s="2"/>
      <x:c r="D19" s="2"/>
      <x:c r="E19" s="2"/>
      <x:c r="F19" s="2"/>
      <x:c r="G19" s="2"/>
      <x:c r="H19" s="2"/>
      <x:c r="I19" s="2"/>
      <x:c r="J19" s="4" t="s">
        <x:v>377</x:v>
      </x:c>
      <x:c r="K19" s="4" t="s">
        <x:v>363</x:v>
      </x:c>
      <x:c r="L19" s="2"/>
      <x:c r="M19" s="2"/>
      <x:c r="N19" s="2"/>
      <x:c r="O19" s="2"/>
      <x:c r="P19" s="2"/>
      <x:c r="Q19" s="2"/>
      <x:c r="R19" s="2"/>
      <x:c r="S19" s="2"/>
      <x:c r="T19" s="2"/>
      <x:c r="U19" s="4" t="str">
        <x:f t="shared" si="0"/>
      </x:c>
      <x:c r="V19" s="14" t="str">
        <x:f>IF(A19="","",IF(AND(U19&lt;=CONFIG!B11,H19&gt;=CONFIG!B12),"PASS","FAIL"))</x:f>
      </x:c>
    </x:row>
    <x:row r="20">
      <x:c r="A20" s="17"/>
      <x:c r="B20" s="2"/>
      <x:c r="C20" s="2"/>
      <x:c r="D20" s="2"/>
      <x:c r="E20" s="2"/>
      <x:c r="F20" s="2"/>
      <x:c r="G20" s="2"/>
      <x:c r="H20" s="2"/>
      <x:c r="I20" s="2"/>
      <x:c r="J20" s="4" t="s">
        <x:v>378</x:v>
      </x:c>
      <x:c r="K20" s="4" t="s">
        <x:v>363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4" t="str">
        <x:f t="shared" si="0"/>
      </x:c>
      <x:c r="V20" s="14" t="str">
        <x:f>IF(A20="","",IF(AND(U20&lt;=CONFIG!B11,H20&gt;=CONFIG!B12),"PASS","FAIL"))</x:f>
      </x:c>
    </x:row>
    <x:row r="21">
      <x:c r="A21" s="17"/>
      <x:c r="B21" s="2"/>
      <x:c r="C21" s="2"/>
      <x:c r="D21" s="2"/>
      <x:c r="E21" s="2"/>
      <x:c r="F21" s="2"/>
      <x:c r="G21" s="2"/>
      <x:c r="H21" s="2"/>
      <x:c r="I21" s="2"/>
      <x:c r="J21" s="4" t="s">
        <x:v>379</x:v>
      </x:c>
      <x:c r="K21" s="4" t="s">
        <x:v>363</x:v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4" t="str">
        <x:f t="shared" si="0"/>
      </x:c>
      <x:c r="V21" s="14" t="str">
        <x:f>IF(A21="","",IF(AND(U21&lt;=CONFIG!B11,H21&gt;=CONFIG!B12),"PASS","FAIL"))</x:f>
      </x:c>
    </x:row>
    <x:row r="22">
      <x:c r="A22" s="17"/>
      <x:c r="B22" s="2"/>
      <x:c r="C22" s="2"/>
      <x:c r="D22" s="2"/>
      <x:c r="E22" s="2"/>
      <x:c r="F22" s="2"/>
      <x:c r="G22" s="2"/>
      <x:c r="H22" s="2"/>
      <x:c r="I22" s="2"/>
      <x:c r="J22" s="4" t="s">
        <x:v>380</x:v>
      </x:c>
      <x:c r="K22" s="4" t="s">
        <x:v>363</x:v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4" t="str">
        <x:f t="shared" si="0"/>
      </x:c>
      <x:c r="V22" s="14" t="str">
        <x:f>IF(A22="","",IF(AND(U22&lt;=CONFIG!B11,H22&gt;=CONFIG!B12),"PASS","FAIL"))</x:f>
      </x:c>
    </x:row>
    <x:row r="23">
      <x:c r="A23" s="17"/>
      <x:c r="B23" s="2"/>
      <x:c r="C23" s="2"/>
      <x:c r="D23" s="2"/>
      <x:c r="E23" s="2"/>
      <x:c r="F23" s="2"/>
      <x:c r="G23" s="2"/>
      <x:c r="H23" s="2"/>
      <x:c r="I23" s="2"/>
      <x:c r="J23" s="4" t="s">
        <x:v>381</x:v>
      </x:c>
      <x:c r="K23" s="4" t="s">
        <x:v>363</x:v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4" t="str">
        <x:f t="shared" si="0"/>
      </x:c>
      <x:c r="V23" s="14" t="str">
        <x:f>IF(A23="","",IF(AND(U23&lt;=CONFIG!B11,H23&gt;=CONFIG!B12),"PASS","FAIL"))</x:f>
      </x:c>
    </x:row>
    <x:row r="24">
      <x:c r="A24" s="17"/>
      <x:c r="B24" s="2"/>
      <x:c r="C24" s="2"/>
      <x:c r="D24" s="2"/>
      <x:c r="E24" s="2"/>
      <x:c r="F24" s="2"/>
      <x:c r="G24" s="2"/>
      <x:c r="H24" s="2"/>
      <x:c r="I24" s="2"/>
      <x:c r="J24" s="4" t="s">
        <x:v>382</x:v>
      </x:c>
      <x:c r="K24" s="4" t="s">
        <x:v>363</x:v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4" t="str">
        <x:f t="shared" si="0"/>
      </x:c>
      <x:c r="V24" s="14" t="str">
        <x:f>IF(A24="","",IF(AND(U24&lt;=CONFIG!B11,H24&gt;=CONFIG!B12),"PASS","FAIL"))</x:f>
      </x:c>
    </x:row>
    <x:row r="25">
      <x:c r="A25" s="17"/>
      <x:c r="B25" s="2"/>
      <x:c r="C25" s="2"/>
      <x:c r="D25" s="2"/>
      <x:c r="E25" s="2"/>
      <x:c r="F25" s="2"/>
      <x:c r="G25" s="2"/>
      <x:c r="H25" s="2"/>
      <x:c r="I25" s="2"/>
      <x:c r="J25" s="4" t="s">
        <x:v>383</x:v>
      </x:c>
      <x:c r="K25" s="4" t="s">
        <x:v>363</x:v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4" t="str">
        <x:f t="shared" si="0"/>
      </x:c>
      <x:c r="V25" s="14" t="str">
        <x:f>IF(A25="","",IF(AND(U25&lt;=CONFIG!B11,H25&gt;=CONFIG!B12),"PASS","FAIL"))</x:f>
      </x:c>
    </x:row>
    <x:row r="26">
      <x:c r="A26" s="17"/>
      <x:c r="B26" s="2"/>
      <x:c r="C26" s="2"/>
      <x:c r="D26" s="2"/>
      <x:c r="E26" s="2"/>
      <x:c r="F26" s="2"/>
      <x:c r="G26" s="2"/>
      <x:c r="H26" s="2"/>
      <x:c r="I26" s="2"/>
      <x:c r="J26" s="4" t="s">
        <x:v>384</x:v>
      </x:c>
      <x:c r="K26" s="4" t="s">
        <x:v>363</x:v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4" t="str">
        <x:f t="shared" si="0"/>
      </x:c>
      <x:c r="V26" s="14" t="str">
        <x:f>IF(A26="","",IF(AND(U26&lt;=CONFIG!B11,H26&gt;=CONFIG!B12),"PASS","FAIL"))</x:f>
      </x:c>
    </x:row>
    <x:row r="27">
      <x:c r="A27" s="17"/>
      <x:c r="B27" s="2"/>
      <x:c r="C27" s="2"/>
      <x:c r="D27" s="2"/>
      <x:c r="E27" s="2"/>
      <x:c r="F27" s="2"/>
      <x:c r="G27" s="2"/>
      <x:c r="H27" s="2"/>
      <x:c r="I27" s="2"/>
      <x:c r="J27" s="4" t="s">
        <x:v>385</x:v>
      </x:c>
      <x:c r="K27" s="4" t="s">
        <x:v>363</x:v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4" t="str">
        <x:f t="shared" si="0"/>
      </x:c>
      <x:c r="V27" s="14" t="str">
        <x:f>IF(A27="","",IF(AND(U27&lt;=CONFIG!B11,H27&gt;=CONFIG!B12),"PASS","FAIL"))</x:f>
      </x:c>
    </x:row>
    <x:row r="28">
      <x:c r="A28" s="17"/>
      <x:c r="B28" s="2"/>
      <x:c r="C28" s="2"/>
      <x:c r="D28" s="2"/>
      <x:c r="E28" s="2"/>
      <x:c r="F28" s="2"/>
      <x:c r="G28" s="2"/>
      <x:c r="H28" s="2"/>
      <x:c r="I28" s="2"/>
      <x:c r="J28" s="4" t="s">
        <x:v>386</x:v>
      </x:c>
      <x:c r="K28" s="4" t="s">
        <x:v>363</x:v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4" t="str">
        <x:f t="shared" si="0"/>
      </x:c>
      <x:c r="V28" s="14" t="str">
        <x:f>IF(A28="","",IF(AND(U28&lt;=CONFIG!B11,H28&gt;=CONFIG!B12),"PASS","FAIL"))</x:f>
      </x:c>
    </x:row>
    <x:row r="29">
      <x:c r="A29" s="17"/>
      <x:c r="B29" s="2"/>
      <x:c r="C29" s="2"/>
      <x:c r="D29" s="2"/>
      <x:c r="E29" s="2"/>
      <x:c r="F29" s="2"/>
      <x:c r="G29" s="2"/>
      <x:c r="H29" s="2"/>
      <x:c r="I29" s="2"/>
      <x:c r="J29" s="4" t="s">
        <x:v>387</x:v>
      </x:c>
      <x:c r="K29" s="4" t="s">
        <x:v>363</x:v>
      </x:c>
      <x:c r="L29" s="2"/>
      <x:c r="M29" s="2"/>
      <x:c r="N29" s="2"/>
      <x:c r="O29" s="2"/>
      <x:c r="P29" s="2"/>
      <x:c r="Q29" s="2"/>
      <x:c r="R29" s="2"/>
      <x:c r="S29" s="2"/>
      <x:c r="T29" s="2"/>
      <x:c r="U29" s="4" t="str">
        <x:f t="shared" si="0"/>
      </x:c>
      <x:c r="V29" s="14" t="str">
        <x:f>IF(A29="","",IF(AND(U29&lt;=CONFIG!B11,H29&gt;=CONFIG!B12),"PASS","FAIL"))</x:f>
      </x:c>
    </x:row>
    <x:row r="30">
      <x:c r="A30" s="17"/>
      <x:c r="B30" s="2"/>
      <x:c r="C30" s="2"/>
      <x:c r="D30" s="2"/>
      <x:c r="E30" s="2"/>
      <x:c r="F30" s="2"/>
      <x:c r="G30" s="2"/>
      <x:c r="H30" s="2"/>
      <x:c r="I30" s="2"/>
      <x:c r="J30" s="4" t="s">
        <x:v>388</x:v>
      </x:c>
      <x:c r="K30" s="4" t="s">
        <x:v>363</x:v>
      </x:c>
      <x:c r="L30" s="2"/>
      <x:c r="M30" s="2"/>
      <x:c r="N30" s="2"/>
      <x:c r="O30" s="2"/>
      <x:c r="P30" s="2"/>
      <x:c r="Q30" s="2"/>
      <x:c r="R30" s="2"/>
      <x:c r="S30" s="2"/>
      <x:c r="T30" s="2"/>
      <x:c r="U30" s="4" t="str">
        <x:f t="shared" si="0"/>
      </x:c>
      <x:c r="V30" s="14" t="str">
        <x:f>IF(A30="","",IF(AND(U30&lt;=CONFIG!B11,H30&gt;=CONFIG!B12),"PASS","FAIL"))</x:f>
      </x:c>
    </x:row>
    <x:row r="31">
      <x:c r="A31" s="17"/>
      <x:c r="B31" s="2"/>
      <x:c r="C31" s="2"/>
      <x:c r="D31" s="2"/>
      <x:c r="E31" s="2"/>
      <x:c r="F31" s="2"/>
      <x:c r="G31" s="2"/>
      <x:c r="H31" s="2"/>
      <x:c r="I31" s="2"/>
      <x:c r="J31" s="4" t="s">
        <x:v>389</x:v>
      </x:c>
      <x:c r="K31" s="4" t="s">
        <x:v>363</x:v>
      </x:c>
      <x:c r="L31" s="2"/>
      <x:c r="M31" s="2"/>
      <x:c r="N31" s="2"/>
      <x:c r="O31" s="2"/>
      <x:c r="P31" s="2"/>
      <x:c r="Q31" s="2"/>
      <x:c r="R31" s="2"/>
      <x:c r="S31" s="2"/>
      <x:c r="T31" s="2"/>
      <x:c r="U31" s="4" t="str">
        <x:f t="shared" si="0"/>
      </x:c>
      <x:c r="V31" s="14" t="str">
        <x:f>IF(A31="","",IF(AND(U31&lt;=CONFIG!B11,H31&gt;=CONFIG!B12),"PASS","FAIL"))</x:f>
      </x:c>
    </x:row>
    <x:row r="32">
      <x:c r="A32" s="17"/>
      <x:c r="B32" s="2"/>
      <x:c r="C32" s="2"/>
      <x:c r="D32" s="2"/>
      <x:c r="E32" s="2"/>
      <x:c r="F32" s="2"/>
      <x:c r="G32" s="2"/>
      <x:c r="H32" s="2"/>
      <x:c r="I32" s="2"/>
      <x:c r="J32" s="4" t="s">
        <x:v>390</x:v>
      </x:c>
      <x:c r="K32" s="4" t="s">
        <x:v>363</x:v>
      </x:c>
      <x:c r="L32" s="2"/>
      <x:c r="M32" s="2"/>
      <x:c r="N32" s="2"/>
      <x:c r="O32" s="2"/>
      <x:c r="P32" s="2"/>
      <x:c r="Q32" s="2"/>
      <x:c r="R32" s="2"/>
      <x:c r="S32" s="2"/>
      <x:c r="T32" s="2"/>
      <x:c r="U32" s="4" t="str">
        <x:f t="shared" si="0"/>
      </x:c>
      <x:c r="V32" s="14" t="str">
        <x:f>IF(A32="","",IF(AND(U32&lt;=CONFIG!B11,H32&gt;=CONFIG!B12),"PASS","FAIL"))</x:f>
      </x:c>
    </x:row>
    <x:row r="33">
      <x:c r="A33" s="17"/>
      <x:c r="B33" s="2"/>
      <x:c r="C33" s="2"/>
      <x:c r="D33" s="2"/>
      <x:c r="E33" s="2"/>
      <x:c r="F33" s="2"/>
      <x:c r="G33" s="2"/>
      <x:c r="H33" s="2"/>
      <x:c r="I33" s="2"/>
      <x:c r="J33" s="4" t="s">
        <x:v>391</x:v>
      </x:c>
      <x:c r="K33" s="4" t="s">
        <x:v>363</x:v>
      </x:c>
      <x:c r="L33" s="2"/>
      <x:c r="M33" s="2"/>
      <x:c r="N33" s="2"/>
      <x:c r="O33" s="2"/>
      <x:c r="P33" s="2"/>
      <x:c r="Q33" s="2"/>
      <x:c r="R33" s="2"/>
      <x:c r="S33" s="2"/>
      <x:c r="T33" s="2"/>
      <x:c r="U33" s="4" t="str">
        <x:f t="shared" si="0"/>
      </x:c>
      <x:c r="V33" s="14" t="str">
        <x:f>IF(A33="","",IF(AND(U33&lt;=CONFIG!B11,H33&gt;=CONFIG!B12),"PASS","FAIL"))</x:f>
      </x:c>
    </x:row>
    <x:row r="34">
      <x:c r="A34" s="17"/>
      <x:c r="B34" s="2"/>
      <x:c r="C34" s="2"/>
      <x:c r="D34" s="2"/>
      <x:c r="E34" s="2"/>
      <x:c r="F34" s="2"/>
      <x:c r="G34" s="2"/>
      <x:c r="H34" s="2"/>
      <x:c r="I34" s="2"/>
      <x:c r="J34" s="4" t="s">
        <x:v>392</x:v>
      </x:c>
      <x:c r="K34" s="4" t="s">
        <x:v>363</x:v>
      </x:c>
      <x:c r="L34" s="2"/>
      <x:c r="M34" s="2"/>
      <x:c r="N34" s="2"/>
      <x:c r="O34" s="2"/>
      <x:c r="P34" s="2"/>
      <x:c r="Q34" s="2"/>
      <x:c r="R34" s="2"/>
      <x:c r="S34" s="2"/>
      <x:c r="T34" s="2"/>
      <x:c r="U34" s="4" t="str">
        <x:f t="shared" si="0"/>
      </x:c>
      <x:c r="V34" s="14" t="str">
        <x:f>IF(A34="","",IF(AND(U34&lt;=CONFIG!B11,H34&gt;=CONFIG!B12),"PASS","FAIL"))</x:f>
      </x:c>
    </x:row>
    <x:row r="35">
      <x:c r="A35" s="17"/>
      <x:c r="B35" s="2"/>
      <x:c r="C35" s="2"/>
      <x:c r="D35" s="2"/>
      <x:c r="E35" s="2"/>
      <x:c r="F35" s="2"/>
      <x:c r="G35" s="2"/>
      <x:c r="H35" s="2"/>
      <x:c r="I35" s="2"/>
      <x:c r="J35" s="4" t="s">
        <x:v>393</x:v>
      </x:c>
      <x:c r="K35" s="4" t="s">
        <x:v>363</x:v>
      </x:c>
      <x:c r="L35" s="2"/>
      <x:c r="M35" s="2"/>
      <x:c r="N35" s="2"/>
      <x:c r="O35" s="2"/>
      <x:c r="P35" s="2"/>
      <x:c r="Q35" s="2"/>
      <x:c r="R35" s="2"/>
      <x:c r="S35" s="2"/>
      <x:c r="T35" s="2"/>
      <x:c r="U35" s="4" t="str">
        <x:f t="shared" si="0"/>
      </x:c>
      <x:c r="V35" s="14" t="str">
        <x:f>IF(A35="","",IF(AND(U35&lt;=CONFIG!B11,H35&gt;=CONFIG!B12),"PASS","FAIL"))</x:f>
      </x:c>
    </x:row>
    <x:row r="36">
      <x:c r="A36" s="17"/>
      <x:c r="B36" s="2"/>
      <x:c r="C36" s="2"/>
      <x:c r="D36" s="2"/>
      <x:c r="E36" s="2"/>
      <x:c r="F36" s="2"/>
      <x:c r="G36" s="2"/>
      <x:c r="H36" s="2"/>
      <x:c r="I36" s="2"/>
      <x:c r="J36" s="4" t="s">
        <x:v>394</x:v>
      </x:c>
      <x:c r="K36" s="4" t="s">
        <x:v>363</x:v>
      </x:c>
      <x:c r="L36" s="2"/>
      <x:c r="M36" s="2"/>
      <x:c r="N36" s="2"/>
      <x:c r="O36" s="2"/>
      <x:c r="P36" s="2"/>
      <x:c r="Q36" s="2"/>
      <x:c r="R36" s="2"/>
      <x:c r="S36" s="2"/>
      <x:c r="T36" s="2"/>
      <x:c r="U36" s="4" t="str">
        <x:f t="shared" si="0"/>
      </x:c>
      <x:c r="V36" s="14" t="str">
        <x:f>IF(A36="","",IF(AND(U36&lt;=CONFIG!B11,H36&gt;=CONFIG!B12),"PASS","FAIL"))</x:f>
      </x:c>
    </x:row>
    <x:row r="37">
      <x:c r="A37" s="17"/>
      <x:c r="B37" s="2"/>
      <x:c r="C37" s="2"/>
      <x:c r="D37" s="2"/>
      <x:c r="E37" s="2"/>
      <x:c r="F37" s="2"/>
      <x:c r="G37" s="2"/>
      <x:c r="H37" s="2"/>
      <x:c r="I37" s="2"/>
      <x:c r="J37" s="4" t="s">
        <x:v>395</x:v>
      </x:c>
      <x:c r="K37" s="4" t="s">
        <x:v>363</x:v>
      </x:c>
      <x:c r="L37" s="2"/>
      <x:c r="M37" s="2"/>
      <x:c r="N37" s="2"/>
      <x:c r="O37" s="2"/>
      <x:c r="P37" s="2"/>
      <x:c r="Q37" s="2"/>
      <x:c r="R37" s="2"/>
      <x:c r="S37" s="2"/>
      <x:c r="T37" s="2"/>
      <x:c r="U37" s="4" t="str">
        <x:f t="shared" ref="U37:U64" si="1">IF(OR(F37="",G37=""),"",ABS(G37-F37))</x:f>
      </x:c>
      <x:c r="V37" s="14" t="str">
        <x:f>IF(A37="","",IF(AND(U37&lt;=CONFIG!B11,H37&gt;=CONFIG!B12),"PASS","FAIL"))</x:f>
      </x:c>
    </x:row>
    <x:row r="38">
      <x:c r="A38" s="17"/>
      <x:c r="B38" s="2"/>
      <x:c r="C38" s="2"/>
      <x:c r="D38" s="2"/>
      <x:c r="E38" s="2"/>
      <x:c r="F38" s="2"/>
      <x:c r="G38" s="2"/>
      <x:c r="H38" s="2"/>
      <x:c r="I38" s="2"/>
      <x:c r="J38" s="4" t="s">
        <x:v>396</x:v>
      </x:c>
      <x:c r="K38" s="4" t="s">
        <x:v>363</x:v>
      </x:c>
      <x:c r="L38" s="2"/>
      <x:c r="M38" s="2"/>
      <x:c r="N38" s="2"/>
      <x:c r="O38" s="2"/>
      <x:c r="P38" s="2"/>
      <x:c r="Q38" s="2"/>
      <x:c r="R38" s="2"/>
      <x:c r="S38" s="2"/>
      <x:c r="T38" s="2"/>
      <x:c r="U38" s="4" t="str">
        <x:f t="shared" si="1"/>
      </x:c>
      <x:c r="V38" s="14" t="str">
        <x:f>IF(A38="","",IF(AND(U38&lt;=CONFIG!B11,H38&gt;=CONFIG!B12),"PASS","FAIL"))</x:f>
      </x:c>
    </x:row>
    <x:row r="39">
      <x:c r="A39" s="17"/>
      <x:c r="B39" s="2"/>
      <x:c r="C39" s="2"/>
      <x:c r="D39" s="2"/>
      <x:c r="E39" s="2"/>
      <x:c r="F39" s="2"/>
      <x:c r="G39" s="2"/>
      <x:c r="H39" s="2"/>
      <x:c r="I39" s="2"/>
      <x:c r="J39" s="4" t="s">
        <x:v>397</x:v>
      </x:c>
      <x:c r="K39" s="4" t="s">
        <x:v>363</x:v>
      </x:c>
      <x:c r="L39" s="2"/>
      <x:c r="M39" s="2"/>
      <x:c r="N39" s="2"/>
      <x:c r="O39" s="2"/>
      <x:c r="P39" s="2"/>
      <x:c r="Q39" s="2"/>
      <x:c r="R39" s="2"/>
      <x:c r="S39" s="2"/>
      <x:c r="T39" s="2"/>
      <x:c r="U39" s="4" t="str">
        <x:f t="shared" si="1"/>
      </x:c>
      <x:c r="V39" s="14" t="str">
        <x:f>IF(A39="","",IF(AND(U39&lt;=CONFIG!B11,H39&gt;=CONFIG!B12),"PASS","FAIL"))</x:f>
      </x:c>
    </x:row>
    <x:row r="40">
      <x:c r="A40" s="17"/>
      <x:c r="B40" s="2"/>
      <x:c r="C40" s="2"/>
      <x:c r="D40" s="2"/>
      <x:c r="E40" s="2"/>
      <x:c r="F40" s="2"/>
      <x:c r="G40" s="2"/>
      <x:c r="H40" s="2"/>
      <x:c r="I40" s="2"/>
      <x:c r="J40" s="4" t="s">
        <x:v>398</x:v>
      </x:c>
      <x:c r="K40" s="4" t="s">
        <x:v>363</x:v>
      </x:c>
      <x:c r="L40" s="2"/>
      <x:c r="M40" s="2"/>
      <x:c r="N40" s="2"/>
      <x:c r="O40" s="2"/>
      <x:c r="P40" s="2"/>
      <x:c r="Q40" s="2"/>
      <x:c r="R40" s="2"/>
      <x:c r="S40" s="2"/>
      <x:c r="T40" s="2"/>
      <x:c r="U40" s="4" t="str">
        <x:f t="shared" si="1"/>
      </x:c>
      <x:c r="V40" s="14" t="str">
        <x:f>IF(A40="","",IF(AND(U40&lt;=CONFIG!B11,H40&gt;=CONFIG!B12),"PASS","FAIL"))</x:f>
      </x:c>
    </x:row>
    <x:row r="41">
      <x:c r="A41" s="17"/>
      <x:c r="B41" s="2"/>
      <x:c r="C41" s="2"/>
      <x:c r="D41" s="2"/>
      <x:c r="E41" s="2"/>
      <x:c r="F41" s="2"/>
      <x:c r="G41" s="2"/>
      <x:c r="H41" s="2"/>
      <x:c r="I41" s="2"/>
      <x:c r="J41" s="4" t="s">
        <x:v>399</x:v>
      </x:c>
      <x:c r="K41" s="4" t="s">
        <x:v>363</x:v>
      </x:c>
      <x:c r="L41" s="2"/>
      <x:c r="M41" s="2"/>
      <x:c r="N41" s="2"/>
      <x:c r="O41" s="2"/>
      <x:c r="P41" s="2"/>
      <x:c r="Q41" s="2"/>
      <x:c r="R41" s="2"/>
      <x:c r="S41" s="2"/>
      <x:c r="T41" s="2"/>
      <x:c r="U41" s="4" t="str">
        <x:f t="shared" si="1"/>
      </x:c>
      <x:c r="V41" s="14" t="str">
        <x:f>IF(A41="","",IF(AND(U41&lt;=CONFIG!B11,H41&gt;=CONFIG!B12),"PASS","FAIL"))</x:f>
      </x:c>
    </x:row>
    <x:row r="42">
      <x:c r="A42" s="17"/>
      <x:c r="B42" s="2"/>
      <x:c r="C42" s="2"/>
      <x:c r="D42" s="2"/>
      <x:c r="E42" s="2"/>
      <x:c r="F42" s="2"/>
      <x:c r="G42" s="2"/>
      <x:c r="H42" s="2"/>
      <x:c r="I42" s="2"/>
      <x:c r="J42" s="4" t="s">
        <x:v>400</x:v>
      </x:c>
      <x:c r="K42" s="4" t="s">
        <x:v>363</x:v>
      </x:c>
      <x:c r="L42" s="2"/>
      <x:c r="M42" s="2"/>
      <x:c r="N42" s="2"/>
      <x:c r="O42" s="2"/>
      <x:c r="P42" s="2"/>
      <x:c r="Q42" s="2"/>
      <x:c r="R42" s="2"/>
      <x:c r="S42" s="2"/>
      <x:c r="T42" s="2"/>
      <x:c r="U42" s="4" t="str">
        <x:f t="shared" si="1"/>
      </x:c>
      <x:c r="V42" s="14" t="str">
        <x:f>IF(A42="","",IF(AND(U42&lt;=CONFIG!B11,H42&gt;=CONFIG!B12),"PASS","FAIL"))</x:f>
      </x:c>
    </x:row>
    <x:row r="43">
      <x:c r="A43" s="17"/>
      <x:c r="B43" s="2"/>
      <x:c r="C43" s="2"/>
      <x:c r="D43" s="2"/>
      <x:c r="E43" s="2"/>
      <x:c r="F43" s="2"/>
      <x:c r="G43" s="2"/>
      <x:c r="H43" s="2"/>
      <x:c r="I43" s="2"/>
      <x:c r="J43" s="4" t="s">
        <x:v>401</x:v>
      </x:c>
      <x:c r="K43" s="4" t="s">
        <x:v>363</x:v>
      </x:c>
      <x:c r="L43" s="2"/>
      <x:c r="M43" s="2"/>
      <x:c r="N43" s="2"/>
      <x:c r="O43" s="2"/>
      <x:c r="P43" s="2"/>
      <x:c r="Q43" s="2"/>
      <x:c r="R43" s="2"/>
      <x:c r="S43" s="2"/>
      <x:c r="T43" s="2"/>
      <x:c r="U43" s="4" t="str">
        <x:f t="shared" si="1"/>
      </x:c>
      <x:c r="V43" s="14" t="str">
        <x:f>IF(A43="","",IF(AND(U43&lt;=CONFIG!B11,H43&gt;=CONFIG!B12),"PASS","FAIL"))</x:f>
      </x:c>
    </x:row>
    <x:row r="44">
      <x:c r="A44" s="17"/>
      <x:c r="B44" s="2"/>
      <x:c r="C44" s="2"/>
      <x:c r="D44" s="2"/>
      <x:c r="E44" s="2"/>
      <x:c r="F44" s="2"/>
      <x:c r="G44" s="2"/>
      <x:c r="H44" s="2"/>
      <x:c r="I44" s="2"/>
      <x:c r="J44" s="4" t="s">
        <x:v>402</x:v>
      </x:c>
      <x:c r="K44" s="4" t="s">
        <x:v>363</x:v>
      </x:c>
      <x:c r="L44" s="2"/>
      <x:c r="M44" s="2"/>
      <x:c r="N44" s="2"/>
      <x:c r="O44" s="2"/>
      <x:c r="P44" s="2"/>
      <x:c r="Q44" s="2"/>
      <x:c r="R44" s="2"/>
      <x:c r="S44" s="2"/>
      <x:c r="T44" s="2"/>
      <x:c r="U44" s="4" t="str">
        <x:f t="shared" si="1"/>
      </x:c>
      <x:c r="V44" s="14" t="str">
        <x:f>IF(A44="","",IF(AND(U44&lt;=CONFIG!B11,H44&gt;=CONFIG!B12),"PASS","FAIL"))</x:f>
      </x:c>
    </x:row>
    <x:row r="45">
      <x:c r="A45" s="17"/>
      <x:c r="B45" s="2"/>
      <x:c r="C45" s="2"/>
      <x:c r="D45" s="2"/>
      <x:c r="E45" s="2"/>
      <x:c r="F45" s="2"/>
      <x:c r="G45" s="2"/>
      <x:c r="H45" s="2"/>
      <x:c r="I45" s="2"/>
      <x:c r="J45" s="4" t="s">
        <x:v>403</x:v>
      </x:c>
      <x:c r="K45" s="4" t="s">
        <x:v>363</x:v>
      </x:c>
      <x:c r="L45" s="2"/>
      <x:c r="M45" s="2"/>
      <x:c r="N45" s="2"/>
      <x:c r="O45" s="2"/>
      <x:c r="P45" s="2"/>
      <x:c r="Q45" s="2"/>
      <x:c r="R45" s="2"/>
      <x:c r="S45" s="2"/>
      <x:c r="T45" s="2"/>
      <x:c r="U45" s="4" t="str">
        <x:f t="shared" si="1"/>
      </x:c>
      <x:c r="V45" s="14" t="str">
        <x:f>IF(A45="","",IF(AND(U45&lt;=CONFIG!B11,H45&gt;=CONFIG!B12),"PASS","FAIL"))</x:f>
      </x:c>
    </x:row>
    <x:row r="46">
      <x:c r="A46" s="17"/>
      <x:c r="B46" s="2"/>
      <x:c r="C46" s="2"/>
      <x:c r="D46" s="2"/>
      <x:c r="E46" s="2"/>
      <x:c r="F46" s="2"/>
      <x:c r="G46" s="2"/>
      <x:c r="H46" s="2"/>
      <x:c r="I46" s="2"/>
      <x:c r="J46" s="4" t="s">
        <x:v>404</x:v>
      </x:c>
      <x:c r="K46" s="4" t="s">
        <x:v>363</x:v>
      </x:c>
      <x:c r="L46" s="2"/>
      <x:c r="M46" s="2"/>
      <x:c r="N46" s="2"/>
      <x:c r="O46" s="2"/>
      <x:c r="P46" s="2"/>
      <x:c r="Q46" s="2"/>
      <x:c r="R46" s="2"/>
      <x:c r="S46" s="2"/>
      <x:c r="T46" s="2"/>
      <x:c r="U46" s="4" t="str">
        <x:f t="shared" si="1"/>
      </x:c>
      <x:c r="V46" s="14" t="str">
        <x:f>IF(A46="","",IF(AND(U46&lt;=CONFIG!B11,H46&gt;=CONFIG!B12),"PASS","FAIL"))</x:f>
      </x:c>
    </x:row>
    <x:row r="47">
      <x:c r="A47" s="17"/>
      <x:c r="B47" s="2"/>
      <x:c r="C47" s="2"/>
      <x:c r="D47" s="2"/>
      <x:c r="E47" s="2"/>
      <x:c r="F47" s="2"/>
      <x:c r="G47" s="2"/>
      <x:c r="H47" s="2"/>
      <x:c r="I47" s="2"/>
      <x:c r="J47" s="4" t="s">
        <x:v>405</x:v>
      </x:c>
      <x:c r="K47" s="4" t="s">
        <x:v>363</x:v>
      </x:c>
      <x:c r="L47" s="2"/>
      <x:c r="M47" s="2"/>
      <x:c r="N47" s="2"/>
      <x:c r="O47" s="2"/>
      <x:c r="P47" s="2"/>
      <x:c r="Q47" s="2"/>
      <x:c r="R47" s="2"/>
      <x:c r="S47" s="2"/>
      <x:c r="T47" s="2"/>
      <x:c r="U47" s="4" t="str">
        <x:f t="shared" si="1"/>
      </x:c>
      <x:c r="V47" s="14" t="str">
        <x:f>IF(A47="","",IF(AND(U47&lt;=CONFIG!B11,H47&gt;=CONFIG!B12),"PASS","FAIL"))</x:f>
      </x:c>
    </x:row>
    <x:row r="48">
      <x:c r="A48" s="17"/>
      <x:c r="B48" s="2"/>
      <x:c r="C48" s="2"/>
      <x:c r="D48" s="2"/>
      <x:c r="E48" s="2"/>
      <x:c r="F48" s="2"/>
      <x:c r="G48" s="2"/>
      <x:c r="H48" s="2"/>
      <x:c r="I48" s="2"/>
      <x:c r="J48" s="4" t="s">
        <x:v>406</x:v>
      </x:c>
      <x:c r="K48" s="4" t="s">
        <x:v>363</x:v>
      </x:c>
      <x:c r="L48" s="2"/>
      <x:c r="M48" s="2"/>
      <x:c r="N48" s="2"/>
      <x:c r="O48" s="2"/>
      <x:c r="P48" s="2"/>
      <x:c r="Q48" s="2"/>
      <x:c r="R48" s="2"/>
      <x:c r="S48" s="2"/>
      <x:c r="T48" s="2"/>
      <x:c r="U48" s="4" t="str">
        <x:f t="shared" si="1"/>
      </x:c>
      <x:c r="V48" s="14" t="str">
        <x:f>IF(A48="","",IF(AND(U48&lt;=CONFIG!B11,H48&gt;=CONFIG!B12),"PASS","FAIL"))</x:f>
      </x:c>
    </x:row>
    <x:row r="49">
      <x:c r="A49" s="17"/>
      <x:c r="B49" s="2"/>
      <x:c r="C49" s="2"/>
      <x:c r="D49" s="2"/>
      <x:c r="E49" s="2"/>
      <x:c r="F49" s="2"/>
      <x:c r="G49" s="2"/>
      <x:c r="H49" s="2"/>
      <x:c r="I49" s="2"/>
      <x:c r="J49" s="4" t="s">
        <x:v>407</x:v>
      </x:c>
      <x:c r="K49" s="4" t="s">
        <x:v>363</x:v>
      </x:c>
      <x:c r="L49" s="2"/>
      <x:c r="M49" s="2"/>
      <x:c r="N49" s="2"/>
      <x:c r="O49" s="2"/>
      <x:c r="P49" s="2"/>
      <x:c r="Q49" s="2"/>
      <x:c r="R49" s="2"/>
      <x:c r="S49" s="2"/>
      <x:c r="T49" s="2"/>
      <x:c r="U49" s="4" t="str">
        <x:f t="shared" si="1"/>
      </x:c>
      <x:c r="V49" s="14" t="str">
        <x:f>IF(A49="","",IF(AND(U49&lt;=CONFIG!B11,H49&gt;=CONFIG!B12),"PASS","FAIL"))</x:f>
      </x:c>
    </x:row>
    <x:row r="50">
      <x:c r="A50" s="17"/>
      <x:c r="B50" s="2"/>
      <x:c r="C50" s="2"/>
      <x:c r="D50" s="2"/>
      <x:c r="E50" s="2"/>
      <x:c r="F50" s="2"/>
      <x:c r="G50" s="2"/>
      <x:c r="H50" s="2"/>
      <x:c r="I50" s="2"/>
      <x:c r="J50" s="4" t="s">
        <x:v>408</x:v>
      </x:c>
      <x:c r="K50" s="4" t="s">
        <x:v>363</x:v>
      </x:c>
      <x:c r="L50" s="2"/>
      <x:c r="M50" s="2"/>
      <x:c r="N50" s="2"/>
      <x:c r="O50" s="2"/>
      <x:c r="P50" s="2"/>
      <x:c r="Q50" s="2"/>
      <x:c r="R50" s="2"/>
      <x:c r="S50" s="2"/>
      <x:c r="T50" s="2"/>
      <x:c r="U50" s="4" t="str">
        <x:f t="shared" si="1"/>
      </x:c>
      <x:c r="V50" s="14" t="str">
        <x:f>IF(A50="","",IF(AND(U50&lt;=CONFIG!B11,H50&gt;=CONFIG!B12),"PASS","FAIL"))</x:f>
      </x:c>
    </x:row>
    <x:row r="51">
      <x:c r="A51" s="17"/>
      <x:c r="B51" s="2"/>
      <x:c r="C51" s="2"/>
      <x:c r="D51" s="2"/>
      <x:c r="E51" s="2"/>
      <x:c r="F51" s="2"/>
      <x:c r="G51" s="2"/>
      <x:c r="H51" s="2"/>
      <x:c r="I51" s="2"/>
      <x:c r="J51" s="4" t="s">
        <x:v>409</x:v>
      </x:c>
      <x:c r="K51" s="4" t="s">
        <x:v>363</x:v>
      </x:c>
      <x:c r="L51" s="2"/>
      <x:c r="M51" s="2"/>
      <x:c r="N51" s="2"/>
      <x:c r="O51" s="2"/>
      <x:c r="P51" s="2"/>
      <x:c r="Q51" s="2"/>
      <x:c r="R51" s="2"/>
      <x:c r="S51" s="2"/>
      <x:c r="T51" s="2"/>
      <x:c r="U51" s="4" t="str">
        <x:f t="shared" si="1"/>
      </x:c>
      <x:c r="V51" s="14" t="str">
        <x:f>IF(A51="","",IF(AND(U51&lt;=CONFIG!B11,H51&gt;=CONFIG!B12),"PASS","FAIL"))</x:f>
      </x:c>
    </x:row>
    <x:row r="52">
      <x:c r="A52" s="17"/>
      <x:c r="B52" s="2"/>
      <x:c r="C52" s="2"/>
      <x:c r="D52" s="2"/>
      <x:c r="E52" s="2"/>
      <x:c r="F52" s="2"/>
      <x:c r="G52" s="2"/>
      <x:c r="H52" s="2"/>
      <x:c r="I52" s="2"/>
      <x:c r="J52" s="4" t="s">
        <x:v>410</x:v>
      </x:c>
      <x:c r="K52" s="4" t="s">
        <x:v>363</x:v>
      </x:c>
      <x:c r="L52" s="2"/>
      <x:c r="M52" s="2"/>
      <x:c r="N52" s="2"/>
      <x:c r="O52" s="2"/>
      <x:c r="P52" s="2"/>
      <x:c r="Q52" s="2"/>
      <x:c r="R52" s="2"/>
      <x:c r="S52" s="2"/>
      <x:c r="T52" s="2"/>
      <x:c r="U52" s="4" t="str">
        <x:f t="shared" si="1"/>
      </x:c>
      <x:c r="V52" s="14" t="str">
        <x:f>IF(A52="","",IF(AND(U52&lt;=CONFIG!B11,H52&gt;=CONFIG!B12),"PASS","FAIL"))</x:f>
      </x:c>
    </x:row>
    <x:row r="53">
      <x:c r="A53" s="17"/>
      <x:c r="B53" s="2"/>
      <x:c r="C53" s="2"/>
      <x:c r="D53" s="2"/>
      <x:c r="E53" s="2"/>
      <x:c r="F53" s="2"/>
      <x:c r="G53" s="2"/>
      <x:c r="H53" s="2"/>
      <x:c r="I53" s="2"/>
      <x:c r="J53" s="4" t="s">
        <x:v>411</x:v>
      </x:c>
      <x:c r="K53" s="4" t="s">
        <x:v>363</x:v>
      </x:c>
      <x:c r="L53" s="2"/>
      <x:c r="M53" s="2"/>
      <x:c r="N53" s="2"/>
      <x:c r="O53" s="2"/>
      <x:c r="P53" s="2"/>
      <x:c r="Q53" s="2"/>
      <x:c r="R53" s="2"/>
      <x:c r="S53" s="2"/>
      <x:c r="T53" s="2"/>
      <x:c r="U53" s="4" t="str">
        <x:f t="shared" si="1"/>
      </x:c>
      <x:c r="V53" s="14" t="str">
        <x:f>IF(A53="","",IF(AND(U53&lt;=CONFIG!B11,H53&gt;=CONFIG!B12),"PASS","FAIL"))</x:f>
      </x:c>
    </x:row>
    <x:row r="54">
      <x:c r="A54" s="17"/>
      <x:c r="B54" s="2"/>
      <x:c r="C54" s="2"/>
      <x:c r="D54" s="2"/>
      <x:c r="E54" s="2"/>
      <x:c r="F54" s="2"/>
      <x:c r="G54" s="2"/>
      <x:c r="H54" s="2"/>
      <x:c r="I54" s="2"/>
      <x:c r="J54" s="4" t="s">
        <x:v>412</x:v>
      </x:c>
      <x:c r="K54" s="4" t="s">
        <x:v>363</x:v>
      </x:c>
      <x:c r="L54" s="2"/>
      <x:c r="M54" s="2"/>
      <x:c r="N54" s="2"/>
      <x:c r="O54" s="2"/>
      <x:c r="P54" s="2"/>
      <x:c r="Q54" s="2"/>
      <x:c r="R54" s="2"/>
      <x:c r="S54" s="2"/>
      <x:c r="T54" s="2"/>
      <x:c r="U54" s="4" t="str">
        <x:f t="shared" si="1"/>
      </x:c>
      <x:c r="V54" s="14" t="str">
        <x:f>IF(A54="","",IF(AND(U54&lt;=CONFIG!B11,H54&gt;=CONFIG!B12),"PASS","FAIL"))</x:f>
      </x:c>
    </x:row>
    <x:row r="55">
      <x:c r="A55" s="17"/>
      <x:c r="B55" s="2"/>
      <x:c r="C55" s="2"/>
      <x:c r="D55" s="2"/>
      <x:c r="E55" s="2"/>
      <x:c r="F55" s="2"/>
      <x:c r="G55" s="2"/>
      <x:c r="H55" s="2"/>
      <x:c r="I55" s="2"/>
      <x:c r="J55" s="4" t="s">
        <x:v>413</x:v>
      </x:c>
      <x:c r="K55" s="4" t="s">
        <x:v>363</x:v>
      </x:c>
      <x:c r="L55" s="2"/>
      <x:c r="M55" s="2"/>
      <x:c r="N55" s="2"/>
      <x:c r="O55" s="2"/>
      <x:c r="P55" s="2"/>
      <x:c r="Q55" s="2"/>
      <x:c r="R55" s="2"/>
      <x:c r="S55" s="2"/>
      <x:c r="T55" s="2"/>
      <x:c r="U55" s="4" t="str">
        <x:f t="shared" si="1"/>
      </x:c>
      <x:c r="V55" s="14" t="str">
        <x:f>IF(A55="","",IF(AND(U55&lt;=CONFIG!B11,H55&gt;=CONFIG!B12),"PASS","FAIL"))</x:f>
      </x:c>
    </x:row>
    <x:row r="56">
      <x:c r="A56" s="17"/>
      <x:c r="B56" s="2"/>
      <x:c r="C56" s="2"/>
      <x:c r="D56" s="2"/>
      <x:c r="E56" s="2"/>
      <x:c r="F56" s="2"/>
      <x:c r="G56" s="2"/>
      <x:c r="H56" s="2"/>
      <x:c r="I56" s="2"/>
      <x:c r="J56" s="4" t="s">
        <x:v>414</x:v>
      </x:c>
      <x:c r="K56" s="4" t="s">
        <x:v>363</x:v>
      </x:c>
      <x:c r="L56" s="2"/>
      <x:c r="M56" s="2"/>
      <x:c r="N56" s="2"/>
      <x:c r="O56" s="2"/>
      <x:c r="P56" s="2"/>
      <x:c r="Q56" s="2"/>
      <x:c r="R56" s="2"/>
      <x:c r="S56" s="2"/>
      <x:c r="T56" s="2"/>
      <x:c r="U56" s="4" t="str">
        <x:f t="shared" si="1"/>
      </x:c>
      <x:c r="V56" s="14" t="str">
        <x:f>IF(A56="","",IF(AND(U56&lt;=CONFIG!B11,H56&gt;=CONFIG!B12),"PASS","FAIL"))</x:f>
      </x:c>
    </x:row>
    <x:row r="57">
      <x:c r="A57" s="17"/>
      <x:c r="B57" s="2"/>
      <x:c r="C57" s="2"/>
      <x:c r="D57" s="2"/>
      <x:c r="E57" s="2"/>
      <x:c r="F57" s="2"/>
      <x:c r="G57" s="2"/>
      <x:c r="H57" s="2"/>
      <x:c r="I57" s="2"/>
      <x:c r="J57" s="4" t="s">
        <x:v>415</x:v>
      </x:c>
      <x:c r="K57" s="4" t="s">
        <x:v>363</x:v>
      </x:c>
      <x:c r="L57" s="2"/>
      <x:c r="M57" s="2"/>
      <x:c r="N57" s="2"/>
      <x:c r="O57" s="2"/>
      <x:c r="P57" s="2"/>
      <x:c r="Q57" s="2"/>
      <x:c r="R57" s="2"/>
      <x:c r="S57" s="2"/>
      <x:c r="T57" s="2"/>
      <x:c r="U57" s="4" t="str">
        <x:f t="shared" si="1"/>
      </x:c>
      <x:c r="V57" s="14" t="str">
        <x:f>IF(A57="","",IF(AND(U57&lt;=CONFIG!B11,H57&gt;=CONFIG!B12),"PASS","FAIL"))</x:f>
      </x:c>
    </x:row>
    <x:row r="58">
      <x:c r="A58" s="17"/>
      <x:c r="B58" s="2"/>
      <x:c r="C58" s="2"/>
      <x:c r="D58" s="2"/>
      <x:c r="E58" s="2"/>
      <x:c r="F58" s="2"/>
      <x:c r="G58" s="2"/>
      <x:c r="H58" s="2"/>
      <x:c r="I58" s="2"/>
      <x:c r="J58" s="4" t="s">
        <x:v>416</x:v>
      </x:c>
      <x:c r="K58" s="4" t="s">
        <x:v>363</x:v>
      </x:c>
      <x:c r="L58" s="2"/>
      <x:c r="M58" s="2"/>
      <x:c r="N58" s="2"/>
      <x:c r="O58" s="2"/>
      <x:c r="P58" s="2"/>
      <x:c r="Q58" s="2"/>
      <x:c r="R58" s="2"/>
      <x:c r="S58" s="2"/>
      <x:c r="T58" s="2"/>
      <x:c r="U58" s="4" t="str">
        <x:f t="shared" si="1"/>
      </x:c>
      <x:c r="V58" s="14" t="str">
        <x:f>IF(A58="","",IF(AND(U58&lt;=CONFIG!B11,H58&gt;=CONFIG!B12),"PASS","FAIL"))</x:f>
      </x:c>
    </x:row>
    <x:row r="59">
      <x:c r="A59" s="17"/>
      <x:c r="B59" s="2"/>
      <x:c r="C59" s="2"/>
      <x:c r="D59" s="2"/>
      <x:c r="E59" s="2"/>
      <x:c r="F59" s="2"/>
      <x:c r="G59" s="2"/>
      <x:c r="H59" s="2"/>
      <x:c r="I59" s="2"/>
      <x:c r="J59" s="4" t="s">
        <x:v>417</x:v>
      </x:c>
      <x:c r="K59" s="4" t="s">
        <x:v>363</x:v>
      </x:c>
      <x:c r="L59" s="2"/>
      <x:c r="M59" s="2"/>
      <x:c r="N59" s="2"/>
      <x:c r="O59" s="2"/>
      <x:c r="P59" s="2"/>
      <x:c r="Q59" s="2"/>
      <x:c r="R59" s="2"/>
      <x:c r="S59" s="2"/>
      <x:c r="T59" s="2"/>
      <x:c r="U59" s="4" t="str">
        <x:f t="shared" si="1"/>
      </x:c>
      <x:c r="V59" s="14" t="str">
        <x:f>IF(A59="","",IF(AND(U59&lt;=CONFIG!B11,H59&gt;=CONFIG!B12),"PASS","FAIL"))</x:f>
      </x:c>
    </x:row>
    <x:row r="60">
      <x:c r="A60" s="17"/>
      <x:c r="B60" s="2"/>
      <x:c r="C60" s="2"/>
      <x:c r="D60" s="2"/>
      <x:c r="E60" s="2"/>
      <x:c r="F60" s="2"/>
      <x:c r="G60" s="2"/>
      <x:c r="H60" s="2"/>
      <x:c r="I60" s="2"/>
      <x:c r="J60" s="4" t="s">
        <x:v>418</x:v>
      </x:c>
      <x:c r="K60" s="4" t="s">
        <x:v>363</x:v>
      </x:c>
      <x:c r="L60" s="2"/>
      <x:c r="M60" s="2"/>
      <x:c r="N60" s="2"/>
      <x:c r="O60" s="2"/>
      <x:c r="P60" s="2"/>
      <x:c r="Q60" s="2"/>
      <x:c r="R60" s="2"/>
      <x:c r="S60" s="2"/>
      <x:c r="T60" s="2"/>
      <x:c r="U60" s="4" t="str">
        <x:f t="shared" si="1"/>
      </x:c>
      <x:c r="V60" s="14" t="str">
        <x:f>IF(A60="","",IF(AND(U60&lt;=CONFIG!B11,H60&gt;=CONFIG!B12),"PASS","FAIL"))</x:f>
      </x:c>
    </x:row>
    <x:row r="61">
      <x:c r="A61" s="17"/>
      <x:c r="B61" s="2"/>
      <x:c r="C61" s="2"/>
      <x:c r="D61" s="2"/>
      <x:c r="E61" s="2"/>
      <x:c r="F61" s="2"/>
      <x:c r="G61" s="2"/>
      <x:c r="H61" s="2"/>
      <x:c r="I61" s="2"/>
      <x:c r="J61" s="4" t="s">
        <x:v>419</x:v>
      </x:c>
      <x:c r="K61" s="4" t="s">
        <x:v>363</x:v>
      </x:c>
      <x:c r="L61" s="2"/>
      <x:c r="M61" s="2"/>
      <x:c r="N61" s="2"/>
      <x:c r="O61" s="2"/>
      <x:c r="P61" s="2"/>
      <x:c r="Q61" s="2"/>
      <x:c r="R61" s="2"/>
      <x:c r="S61" s="2"/>
      <x:c r="T61" s="2"/>
      <x:c r="U61" s="4" t="str">
        <x:f t="shared" si="1"/>
      </x:c>
      <x:c r="V61" s="14" t="str">
        <x:f>IF(A61="","",IF(AND(U61&lt;=CONFIG!B11,H61&gt;=CONFIG!B12),"PASS","FAIL"))</x:f>
      </x:c>
    </x:row>
    <x:row r="62">
      <x:c r="A62" s="17"/>
      <x:c r="B62" s="2"/>
      <x:c r="C62" s="2"/>
      <x:c r="D62" s="2"/>
      <x:c r="E62" s="2"/>
      <x:c r="F62" s="2"/>
      <x:c r="G62" s="2"/>
      <x:c r="H62" s="2"/>
      <x:c r="I62" s="2"/>
      <x:c r="J62" s="4" t="s">
        <x:v>420</x:v>
      </x:c>
      <x:c r="K62" s="4" t="s">
        <x:v>363</x:v>
      </x:c>
      <x:c r="L62" s="2"/>
      <x:c r="M62" s="2"/>
      <x:c r="N62" s="2"/>
      <x:c r="O62" s="2"/>
      <x:c r="P62" s="2"/>
      <x:c r="Q62" s="2"/>
      <x:c r="R62" s="2"/>
      <x:c r="S62" s="2"/>
      <x:c r="T62" s="2"/>
      <x:c r="U62" s="4" t="str">
        <x:f t="shared" si="1"/>
      </x:c>
      <x:c r="V62" s="14" t="str">
        <x:f>IF(A62="","",IF(AND(U62&lt;=CONFIG!B11,H62&gt;=CONFIG!B12),"PASS","FAIL"))</x:f>
      </x:c>
    </x:row>
    <x:row r="63">
      <x:c r="A63" s="17"/>
      <x:c r="B63" s="2"/>
      <x:c r="C63" s="2"/>
      <x:c r="D63" s="2"/>
      <x:c r="E63" s="2"/>
      <x:c r="F63" s="2"/>
      <x:c r="G63" s="2"/>
      <x:c r="H63" s="2"/>
      <x:c r="I63" s="2"/>
      <x:c r="J63" s="4" t="s">
        <x:v>421</x:v>
      </x:c>
      <x:c r="K63" s="4" t="s">
        <x:v>363</x:v>
      </x:c>
      <x:c r="L63" s="2"/>
      <x:c r="M63" s="2"/>
      <x:c r="N63" s="2"/>
      <x:c r="O63" s="2"/>
      <x:c r="P63" s="2"/>
      <x:c r="Q63" s="2"/>
      <x:c r="R63" s="2"/>
      <x:c r="S63" s="2"/>
      <x:c r="T63" s="2"/>
      <x:c r="U63" s="4" t="str">
        <x:f t="shared" si="1"/>
      </x:c>
      <x:c r="V63" s="14" t="str">
        <x:f>IF(A63="","",IF(AND(U63&lt;=CONFIG!B11,H63&gt;=CONFIG!B12),"PASS","FAIL"))</x:f>
      </x:c>
    </x:row>
    <x:row r="64">
      <x:c r="A64" s="18"/>
      <x:c r="B64" s="12"/>
      <x:c r="C64" s="12"/>
      <x:c r="D64" s="12"/>
      <x:c r="E64" s="12"/>
      <x:c r="F64" s="12"/>
      <x:c r="G64" s="12"/>
      <x:c r="H64" s="12"/>
      <x:c r="I64" s="12"/>
      <x:c r="J64" s="15" t="s">
        <x:v>422</x:v>
      </x:c>
      <x:c r="K64" s="15" t="s">
        <x:v>363</x:v>
      </x:c>
      <x:c r="L64" s="12"/>
      <x:c r="M64" s="12"/>
      <x:c r="N64" s="12"/>
      <x:c r="O64" s="12"/>
      <x:c r="P64" s="12"/>
      <x:c r="Q64" s="12"/>
      <x:c r="R64" s="12"/>
      <x:c r="S64" s="12"/>
      <x:c r="T64" s="12"/>
      <x:c r="U64" s="15" t="str">
        <x:f t="shared" si="1"/>
      </x:c>
      <x:c r="V64" s="16" t="str">
        <x:f>IF(A64="","",IF(AND(U64&lt;=CONFIG!B11,H64&gt;=CONFIG!B12),"PASS","FAIL"))</x:f>
      </x:c>
    </x:row>
  </x:sheetData>
  <x:mergeCells>
    <x:mergeCell ref="A1:V1"/>
    <x:mergeCell ref="A2:V2"/>
  </x:mergeCells>
  <x:conditionalFormatting sqref="V5:V64">
    <x:cfRule type="cellIs" dxfId="7" priority="1" stopIfTrue="1" operator="equal">
      <x:formula>"PASS"</x:formula>
    </x:cfRule>
    <x:cfRule type="cellIs" dxfId="6" priority="2" stopIfTrue="1" operator="equal">
      <x:formula>"FAIL"</x:formula>
    </x:cfRule>
    <x:cfRule type="cellIs" dxfId="5" priority="3" stopIfTrue="1" operator="equal">
      <x:formula>"BLOCKED"</x:formula>
    </x:cfRule>
    <x:cfRule type="cellIs" dxfId="4" priority="4" stopIfTrue="1" operator="equal">
      <x:formula>"ABORTED"</x:formula>
    </x:cfRule>
  </x:conditionalFormatting>
  <x:dataValidations count="4">
    <x:dataValidation type="list" allowBlank="1" showInputMessage="1" showErrorMessage="1" sqref="C5:C64">
      <x:formula1>"""LINEAR,QUADRATIC,PIECEWISE"""</x:formula1>
    </x:dataValidation>
    <x:dataValidation type="list" allowBlank="1" showInputMessage="1" showErrorMessage="1" sqref="D5:D64">
      <x:formula1>"""CALIBRATION,HOLDOUT"""</x:formula1>
    </x:dataValidation>
    <x:dataValidation type="list" allowBlank="1" showInputMessage="1" showErrorMessage="1" sqref="I5:I64">
      <x:formula1>"""SCORED,SHORT,LONG,REBOUND,OTHER"""</x:formula1>
    </x:dataValidation>
    <x:dataValidation type="list" allowBlank="1" showInputMessage="1" showErrorMessage="1" sqref="V5:V64">
      <x:formula1>"""NOT_RUN,IN_PROGRESS,PASS,FAIL,BLOCKED,ABORTED,INVALID_DATA,NOT_APPLICABLE"""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a7bfac79924f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10" defaultColWidth="20.77734375" defaultRowHeight="14.399999618530273"/>
  <x:sheetData>
    <x:row r="1" ht="30" customHeight="1">
      <x:c r="A1" s="19" t="s">
        <x:v>423</x:v>
      </x:c>
      <x:c r="B1" s="19"/>
      <x:c r="C1" s="19"/>
      <x:c r="D1" s="19"/>
      <x:c r="E1" s="19"/>
      <x:c r="F1" s="19"/>
      <x:c r="G1" s="19"/>
      <x:c r="H1" s="19"/>
      <x:c r="I1" s="19"/>
    </x:row>
    <x:row r="2" ht="36" customHeight="1">
      <x:c r="A2" s="20" t="s">
        <x:v>424</x:v>
      </x:c>
      <x:c r="B2" s="20"/>
      <x:c r="C2" s="20"/>
      <x:c r="D2" s="20"/>
      <x:c r="E2" s="20"/>
      <x:c r="F2" s="20"/>
      <x:c r="G2" s="20"/>
      <x:c r="H2" s="20"/>
      <x:c r="I2" s="20"/>
    </x:row>
    <x:row r="4" ht="31.950000762939453" customHeight="1">
      <x:c r="A4" s="7" t="s">
        <x:v>425</x:v>
      </x:c>
      <x:c r="B4" s="8" t="s">
        <x:v>345</x:v>
      </x:c>
      <x:c r="C4" s="8" t="s">
        <x:v>346</x:v>
      </x:c>
      <x:c r="D4" s="8" t="s">
        <x:v>347</x:v>
      </x:c>
      <x:c r="E4" s="8" t="s">
        <x:v>348</x:v>
      </x:c>
      <x:c r="F4" s="8" t="s">
        <x:v>349</x:v>
      </x:c>
      <x:c r="G4" s="8" t="s">
        <x:v>350</x:v>
      </x:c>
      <x:c r="H4" s="8" t="s">
        <x:v>351</x:v>
      </x:c>
      <x:c r="I4" s="10" t="s">
        <x:v>352</x:v>
      </x:c>
    </x:row>
    <x:row r="5">
      <x:c r="A5" s="6" t="str">
        <x:f>IF(SHOT_DATASET!A5="","",SHOT_DATASET!A5)</x:f>
      </x:c>
      <x:c r="B5" s="4" t="str">
        <x:f>IF(SHOT_DATASET!A5="","",SHOT_DATASET!B5)</x:f>
      </x:c>
      <x:c r="C5" s="4" t="str">
        <x:f>IF(SHOT_DATASET!A5="","",SHOT_DATASET!C5)</x:f>
      </x:c>
      <x:c r="D5" s="4" t="str">
        <x:f>IF(SHOT_DATASET!A5="","",SHOT_DATASET!D5)</x:f>
      </x:c>
      <x:c r="E5" s="4" t="str">
        <x:f>IF(SHOT_DATASET!A5="","",SHOT_DATASET!E5)</x:f>
      </x:c>
      <x:c r="F5" s="4" t="str">
        <x:f>IF(SHOT_DATASET!A5="","",SHOT_DATASET!F5)</x:f>
      </x:c>
      <x:c r="G5" s="4" t="str">
        <x:f>IF(SHOT_DATASET!A5="","",SHOT_DATASET!G5)</x:f>
      </x:c>
      <x:c r="H5" s="4" t="str">
        <x:f>IF(SHOT_DATASET!A5="","",SHOT_DATASET!H5)</x:f>
      </x:c>
      <x:c r="I5" s="14" t="str">
        <x:f>IF(SHOT_DATASET!A5="","",SHOT_DATASET!I5)</x:f>
      </x:c>
    </x:row>
    <x:row r="6">
      <x:c r="A6" s="6" t="str">
        <x:f>IF(SHOT_DATASET!A6="","",SHOT_DATASET!A6)</x:f>
      </x:c>
      <x:c r="B6" s="4" t="str">
        <x:f>IF(SHOT_DATASET!A6="","",SHOT_DATASET!B6)</x:f>
      </x:c>
      <x:c r="C6" s="4" t="str">
        <x:f>IF(SHOT_DATASET!A6="","",SHOT_DATASET!C6)</x:f>
      </x:c>
      <x:c r="D6" s="4" t="str">
        <x:f>IF(SHOT_DATASET!A6="","",SHOT_DATASET!D6)</x:f>
      </x:c>
      <x:c r="E6" s="4" t="str">
        <x:f>IF(SHOT_DATASET!A6="","",SHOT_DATASET!E6)</x:f>
      </x:c>
      <x:c r="F6" s="4" t="str">
        <x:f>IF(SHOT_DATASET!A6="","",SHOT_DATASET!F6)</x:f>
      </x:c>
      <x:c r="G6" s="4" t="str">
        <x:f>IF(SHOT_DATASET!A6="","",SHOT_DATASET!G6)</x:f>
      </x:c>
      <x:c r="H6" s="4" t="str">
        <x:f>IF(SHOT_DATASET!A6="","",SHOT_DATASET!H6)</x:f>
      </x:c>
      <x:c r="I6" s="14" t="str">
        <x:f>IF(SHOT_DATASET!A6="","",SHOT_DATASET!I6)</x:f>
      </x:c>
    </x:row>
    <x:row r="7">
      <x:c r="A7" s="6" t="str">
        <x:f>IF(SHOT_DATASET!A7="","",SHOT_DATASET!A7)</x:f>
      </x:c>
      <x:c r="B7" s="4" t="str">
        <x:f>IF(SHOT_DATASET!A7="","",SHOT_DATASET!B7)</x:f>
      </x:c>
      <x:c r="C7" s="4" t="str">
        <x:f>IF(SHOT_DATASET!A7="","",SHOT_DATASET!C7)</x:f>
      </x:c>
      <x:c r="D7" s="4" t="str">
        <x:f>IF(SHOT_DATASET!A7="","",SHOT_DATASET!D7)</x:f>
      </x:c>
      <x:c r="E7" s="4" t="str">
        <x:f>IF(SHOT_DATASET!A7="","",SHOT_DATASET!E7)</x:f>
      </x:c>
      <x:c r="F7" s="4" t="str">
        <x:f>IF(SHOT_DATASET!A7="","",SHOT_DATASET!F7)</x:f>
      </x:c>
      <x:c r="G7" s="4" t="str">
        <x:f>IF(SHOT_DATASET!A7="","",SHOT_DATASET!G7)</x:f>
      </x:c>
      <x:c r="H7" s="4" t="str">
        <x:f>IF(SHOT_DATASET!A7="","",SHOT_DATASET!H7)</x:f>
      </x:c>
      <x:c r="I7" s="14" t="str">
        <x:f>IF(SHOT_DATASET!A7="","",SHOT_DATASET!I7)</x:f>
      </x:c>
    </x:row>
    <x:row r="8">
      <x:c r="A8" s="6" t="str">
        <x:f>IF(SHOT_DATASET!A8="","",SHOT_DATASET!A8)</x:f>
      </x:c>
      <x:c r="B8" s="4" t="str">
        <x:f>IF(SHOT_DATASET!A8="","",SHOT_DATASET!B8)</x:f>
      </x:c>
      <x:c r="C8" s="4" t="str">
        <x:f>IF(SHOT_DATASET!A8="","",SHOT_DATASET!C8)</x:f>
      </x:c>
      <x:c r="D8" s="4" t="str">
        <x:f>IF(SHOT_DATASET!A8="","",SHOT_DATASET!D8)</x:f>
      </x:c>
      <x:c r="E8" s="4" t="str">
        <x:f>IF(SHOT_DATASET!A8="","",SHOT_DATASET!E8)</x:f>
      </x:c>
      <x:c r="F8" s="4" t="str">
        <x:f>IF(SHOT_DATASET!A8="","",SHOT_DATASET!F8)</x:f>
      </x:c>
      <x:c r="G8" s="4" t="str">
        <x:f>IF(SHOT_DATASET!A8="","",SHOT_DATASET!G8)</x:f>
      </x:c>
      <x:c r="H8" s="4" t="str">
        <x:f>IF(SHOT_DATASET!A8="","",SHOT_DATASET!H8)</x:f>
      </x:c>
      <x:c r="I8" s="14" t="str">
        <x:f>IF(SHOT_DATASET!A8="","",SHOT_DATASET!I8)</x:f>
      </x:c>
    </x:row>
    <x:row r="9">
      <x:c r="A9" s="6" t="str">
        <x:f>IF(SHOT_DATASET!A9="","",SHOT_DATASET!A9)</x:f>
      </x:c>
      <x:c r="B9" s="4" t="str">
        <x:f>IF(SHOT_DATASET!A9="","",SHOT_DATASET!B9)</x:f>
      </x:c>
      <x:c r="C9" s="4" t="str">
        <x:f>IF(SHOT_DATASET!A9="","",SHOT_DATASET!C9)</x:f>
      </x:c>
      <x:c r="D9" s="4" t="str">
        <x:f>IF(SHOT_DATASET!A9="","",SHOT_DATASET!D9)</x:f>
      </x:c>
      <x:c r="E9" s="4" t="str">
        <x:f>IF(SHOT_DATASET!A9="","",SHOT_DATASET!E9)</x:f>
      </x:c>
      <x:c r="F9" s="4" t="str">
        <x:f>IF(SHOT_DATASET!A9="","",SHOT_DATASET!F9)</x:f>
      </x:c>
      <x:c r="G9" s="4" t="str">
        <x:f>IF(SHOT_DATASET!A9="","",SHOT_DATASET!G9)</x:f>
      </x:c>
      <x:c r="H9" s="4" t="str">
        <x:f>IF(SHOT_DATASET!A9="","",SHOT_DATASET!H9)</x:f>
      </x:c>
      <x:c r="I9" s="14" t="str">
        <x:f>IF(SHOT_DATASET!A9="","",SHOT_DATASET!I9)</x:f>
      </x:c>
    </x:row>
    <x:row r="10">
      <x:c r="A10" s="6" t="str">
        <x:f>IF(SHOT_DATASET!A10="","",SHOT_DATASET!A10)</x:f>
      </x:c>
      <x:c r="B10" s="4" t="str">
        <x:f>IF(SHOT_DATASET!A10="","",SHOT_DATASET!B10)</x:f>
      </x:c>
      <x:c r="C10" s="4" t="str">
        <x:f>IF(SHOT_DATASET!A10="","",SHOT_DATASET!C10)</x:f>
      </x:c>
      <x:c r="D10" s="4" t="str">
        <x:f>IF(SHOT_DATASET!A10="","",SHOT_DATASET!D10)</x:f>
      </x:c>
      <x:c r="E10" s="4" t="str">
        <x:f>IF(SHOT_DATASET!A10="","",SHOT_DATASET!E10)</x:f>
      </x:c>
      <x:c r="F10" s="4" t="str">
        <x:f>IF(SHOT_DATASET!A10="","",SHOT_DATASET!F10)</x:f>
      </x:c>
      <x:c r="G10" s="4" t="str">
        <x:f>IF(SHOT_DATASET!A10="","",SHOT_DATASET!G10)</x:f>
      </x:c>
      <x:c r="H10" s="4" t="str">
        <x:f>IF(SHOT_DATASET!A10="","",SHOT_DATASET!H10)</x:f>
      </x:c>
      <x:c r="I10" s="14" t="str">
        <x:f>IF(SHOT_DATASET!A10="","",SHOT_DATASET!I10)</x:f>
      </x:c>
    </x:row>
    <x:row r="11">
      <x:c r="A11" s="6" t="str">
        <x:f>IF(SHOT_DATASET!A11="","",SHOT_DATASET!A11)</x:f>
      </x:c>
      <x:c r="B11" s="4" t="str">
        <x:f>IF(SHOT_DATASET!A11="","",SHOT_DATASET!B11)</x:f>
      </x:c>
      <x:c r="C11" s="4" t="str">
        <x:f>IF(SHOT_DATASET!A11="","",SHOT_DATASET!C11)</x:f>
      </x:c>
      <x:c r="D11" s="4" t="str">
        <x:f>IF(SHOT_DATASET!A11="","",SHOT_DATASET!D11)</x:f>
      </x:c>
      <x:c r="E11" s="4" t="str">
        <x:f>IF(SHOT_DATASET!A11="","",SHOT_DATASET!E11)</x:f>
      </x:c>
      <x:c r="F11" s="4" t="str">
        <x:f>IF(SHOT_DATASET!A11="","",SHOT_DATASET!F11)</x:f>
      </x:c>
      <x:c r="G11" s="4" t="str">
        <x:f>IF(SHOT_DATASET!A11="","",SHOT_DATASET!G11)</x:f>
      </x:c>
      <x:c r="H11" s="4" t="str">
        <x:f>IF(SHOT_DATASET!A11="","",SHOT_DATASET!H11)</x:f>
      </x:c>
      <x:c r="I11" s="14" t="str">
        <x:f>IF(SHOT_DATASET!A11="","",SHOT_DATASET!I11)</x:f>
      </x:c>
    </x:row>
    <x:row r="12">
      <x:c r="A12" s="6" t="str">
        <x:f>IF(SHOT_DATASET!A12="","",SHOT_DATASET!A12)</x:f>
      </x:c>
      <x:c r="B12" s="4" t="str">
        <x:f>IF(SHOT_DATASET!A12="","",SHOT_DATASET!B12)</x:f>
      </x:c>
      <x:c r="C12" s="4" t="str">
        <x:f>IF(SHOT_DATASET!A12="","",SHOT_DATASET!C12)</x:f>
      </x:c>
      <x:c r="D12" s="4" t="str">
        <x:f>IF(SHOT_DATASET!A12="","",SHOT_DATASET!D12)</x:f>
      </x:c>
      <x:c r="E12" s="4" t="str">
        <x:f>IF(SHOT_DATASET!A12="","",SHOT_DATASET!E12)</x:f>
      </x:c>
      <x:c r="F12" s="4" t="str">
        <x:f>IF(SHOT_DATASET!A12="","",SHOT_DATASET!F12)</x:f>
      </x:c>
      <x:c r="G12" s="4" t="str">
        <x:f>IF(SHOT_DATASET!A12="","",SHOT_DATASET!G12)</x:f>
      </x:c>
      <x:c r="H12" s="4" t="str">
        <x:f>IF(SHOT_DATASET!A12="","",SHOT_DATASET!H12)</x:f>
      </x:c>
      <x:c r="I12" s="14" t="str">
        <x:f>IF(SHOT_DATASET!A12="","",SHOT_DATASET!I12)</x:f>
      </x:c>
    </x:row>
    <x:row r="13">
      <x:c r="A13" s="6" t="str">
        <x:f>IF(SHOT_DATASET!A13="","",SHOT_DATASET!A13)</x:f>
      </x:c>
      <x:c r="B13" s="4" t="str">
        <x:f>IF(SHOT_DATASET!A13="","",SHOT_DATASET!B13)</x:f>
      </x:c>
      <x:c r="C13" s="4" t="str">
        <x:f>IF(SHOT_DATASET!A13="","",SHOT_DATASET!C13)</x:f>
      </x:c>
      <x:c r="D13" s="4" t="str">
        <x:f>IF(SHOT_DATASET!A13="","",SHOT_DATASET!D13)</x:f>
      </x:c>
      <x:c r="E13" s="4" t="str">
        <x:f>IF(SHOT_DATASET!A13="","",SHOT_DATASET!E13)</x:f>
      </x:c>
      <x:c r="F13" s="4" t="str">
        <x:f>IF(SHOT_DATASET!A13="","",SHOT_DATASET!F13)</x:f>
      </x:c>
      <x:c r="G13" s="4" t="str">
        <x:f>IF(SHOT_DATASET!A13="","",SHOT_DATASET!G13)</x:f>
      </x:c>
      <x:c r="H13" s="4" t="str">
        <x:f>IF(SHOT_DATASET!A13="","",SHOT_DATASET!H13)</x:f>
      </x:c>
      <x:c r="I13" s="14" t="str">
        <x:f>IF(SHOT_DATASET!A13="","",SHOT_DATASET!I13)</x:f>
      </x:c>
    </x:row>
    <x:row r="14">
      <x:c r="A14" s="6" t="str">
        <x:f>IF(SHOT_DATASET!A14="","",SHOT_DATASET!A14)</x:f>
      </x:c>
      <x:c r="B14" s="4" t="str">
        <x:f>IF(SHOT_DATASET!A14="","",SHOT_DATASET!B14)</x:f>
      </x:c>
      <x:c r="C14" s="4" t="str">
        <x:f>IF(SHOT_DATASET!A14="","",SHOT_DATASET!C14)</x:f>
      </x:c>
      <x:c r="D14" s="4" t="str">
        <x:f>IF(SHOT_DATASET!A14="","",SHOT_DATASET!D14)</x:f>
      </x:c>
      <x:c r="E14" s="4" t="str">
        <x:f>IF(SHOT_DATASET!A14="","",SHOT_DATASET!E14)</x:f>
      </x:c>
      <x:c r="F14" s="4" t="str">
        <x:f>IF(SHOT_DATASET!A14="","",SHOT_DATASET!F14)</x:f>
      </x:c>
      <x:c r="G14" s="4" t="str">
        <x:f>IF(SHOT_DATASET!A14="","",SHOT_DATASET!G14)</x:f>
      </x:c>
      <x:c r="H14" s="4" t="str">
        <x:f>IF(SHOT_DATASET!A14="","",SHOT_DATASET!H14)</x:f>
      </x:c>
      <x:c r="I14" s="14" t="str">
        <x:f>IF(SHOT_DATASET!A14="","",SHOT_DATASET!I14)</x:f>
      </x:c>
    </x:row>
    <x:row r="15">
      <x:c r="A15" s="6" t="str">
        <x:f>IF(SHOT_DATASET!A15="","",SHOT_DATASET!A15)</x:f>
      </x:c>
      <x:c r="B15" s="4" t="str">
        <x:f>IF(SHOT_DATASET!A15="","",SHOT_DATASET!B15)</x:f>
      </x:c>
      <x:c r="C15" s="4" t="str">
        <x:f>IF(SHOT_DATASET!A15="","",SHOT_DATASET!C15)</x:f>
      </x:c>
      <x:c r="D15" s="4" t="str">
        <x:f>IF(SHOT_DATASET!A15="","",SHOT_DATASET!D15)</x:f>
      </x:c>
      <x:c r="E15" s="4" t="str">
        <x:f>IF(SHOT_DATASET!A15="","",SHOT_DATASET!E15)</x:f>
      </x:c>
      <x:c r="F15" s="4" t="str">
        <x:f>IF(SHOT_DATASET!A15="","",SHOT_DATASET!F15)</x:f>
      </x:c>
      <x:c r="G15" s="4" t="str">
        <x:f>IF(SHOT_DATASET!A15="","",SHOT_DATASET!G15)</x:f>
      </x:c>
      <x:c r="H15" s="4" t="str">
        <x:f>IF(SHOT_DATASET!A15="","",SHOT_DATASET!H15)</x:f>
      </x:c>
      <x:c r="I15" s="14" t="str">
        <x:f>IF(SHOT_DATASET!A15="","",SHOT_DATASET!I15)</x:f>
      </x:c>
    </x:row>
    <x:row r="16">
      <x:c r="A16" s="6" t="str">
        <x:f>IF(SHOT_DATASET!A16="","",SHOT_DATASET!A16)</x:f>
      </x:c>
      <x:c r="B16" s="4" t="str">
        <x:f>IF(SHOT_DATASET!A16="","",SHOT_DATASET!B16)</x:f>
      </x:c>
      <x:c r="C16" s="4" t="str">
        <x:f>IF(SHOT_DATASET!A16="","",SHOT_DATASET!C16)</x:f>
      </x:c>
      <x:c r="D16" s="4" t="str">
        <x:f>IF(SHOT_DATASET!A16="","",SHOT_DATASET!D16)</x:f>
      </x:c>
      <x:c r="E16" s="4" t="str">
        <x:f>IF(SHOT_DATASET!A16="","",SHOT_DATASET!E16)</x:f>
      </x:c>
      <x:c r="F16" s="4" t="str">
        <x:f>IF(SHOT_DATASET!A16="","",SHOT_DATASET!F16)</x:f>
      </x:c>
      <x:c r="G16" s="4" t="str">
        <x:f>IF(SHOT_DATASET!A16="","",SHOT_DATASET!G16)</x:f>
      </x:c>
      <x:c r="H16" s="4" t="str">
        <x:f>IF(SHOT_DATASET!A16="","",SHOT_DATASET!H16)</x:f>
      </x:c>
      <x:c r="I16" s="14" t="str">
        <x:f>IF(SHOT_DATASET!A16="","",SHOT_DATASET!I16)</x:f>
      </x:c>
    </x:row>
    <x:row r="17">
      <x:c r="A17" s="6" t="str">
        <x:f>IF(SHOT_DATASET!A17="","",SHOT_DATASET!A17)</x:f>
      </x:c>
      <x:c r="B17" s="4" t="str">
        <x:f>IF(SHOT_DATASET!A17="","",SHOT_DATASET!B17)</x:f>
      </x:c>
      <x:c r="C17" s="4" t="str">
        <x:f>IF(SHOT_DATASET!A17="","",SHOT_DATASET!C17)</x:f>
      </x:c>
      <x:c r="D17" s="4" t="str">
        <x:f>IF(SHOT_DATASET!A17="","",SHOT_DATASET!D17)</x:f>
      </x:c>
      <x:c r="E17" s="4" t="str">
        <x:f>IF(SHOT_DATASET!A17="","",SHOT_DATASET!E17)</x:f>
      </x:c>
      <x:c r="F17" s="4" t="str">
        <x:f>IF(SHOT_DATASET!A17="","",SHOT_DATASET!F17)</x:f>
      </x:c>
      <x:c r="G17" s="4" t="str">
        <x:f>IF(SHOT_DATASET!A17="","",SHOT_DATASET!G17)</x:f>
      </x:c>
      <x:c r="H17" s="4" t="str">
        <x:f>IF(SHOT_DATASET!A17="","",SHOT_DATASET!H17)</x:f>
      </x:c>
      <x:c r="I17" s="14" t="str">
        <x:f>IF(SHOT_DATASET!A17="","",SHOT_DATASET!I17)</x:f>
      </x:c>
    </x:row>
    <x:row r="18">
      <x:c r="A18" s="6" t="str">
        <x:f>IF(SHOT_DATASET!A18="","",SHOT_DATASET!A18)</x:f>
      </x:c>
      <x:c r="B18" s="4" t="str">
        <x:f>IF(SHOT_DATASET!A18="","",SHOT_DATASET!B18)</x:f>
      </x:c>
      <x:c r="C18" s="4" t="str">
        <x:f>IF(SHOT_DATASET!A18="","",SHOT_DATASET!C18)</x:f>
      </x:c>
      <x:c r="D18" s="4" t="str">
        <x:f>IF(SHOT_DATASET!A18="","",SHOT_DATASET!D18)</x:f>
      </x:c>
      <x:c r="E18" s="4" t="str">
        <x:f>IF(SHOT_DATASET!A18="","",SHOT_DATASET!E18)</x:f>
      </x:c>
      <x:c r="F18" s="4" t="str">
        <x:f>IF(SHOT_DATASET!A18="","",SHOT_DATASET!F18)</x:f>
      </x:c>
      <x:c r="G18" s="4" t="str">
        <x:f>IF(SHOT_DATASET!A18="","",SHOT_DATASET!G18)</x:f>
      </x:c>
      <x:c r="H18" s="4" t="str">
        <x:f>IF(SHOT_DATASET!A18="","",SHOT_DATASET!H18)</x:f>
      </x:c>
      <x:c r="I18" s="14" t="str">
        <x:f>IF(SHOT_DATASET!A18="","",SHOT_DATASET!I18)</x:f>
      </x:c>
    </x:row>
    <x:row r="19">
      <x:c r="A19" s="6" t="str">
        <x:f>IF(SHOT_DATASET!A19="","",SHOT_DATASET!A19)</x:f>
      </x:c>
      <x:c r="B19" s="4" t="str">
        <x:f>IF(SHOT_DATASET!A19="","",SHOT_DATASET!B19)</x:f>
      </x:c>
      <x:c r="C19" s="4" t="str">
        <x:f>IF(SHOT_DATASET!A19="","",SHOT_DATASET!C19)</x:f>
      </x:c>
      <x:c r="D19" s="4" t="str">
        <x:f>IF(SHOT_DATASET!A19="","",SHOT_DATASET!D19)</x:f>
      </x:c>
      <x:c r="E19" s="4" t="str">
        <x:f>IF(SHOT_DATASET!A19="","",SHOT_DATASET!E19)</x:f>
      </x:c>
      <x:c r="F19" s="4" t="str">
        <x:f>IF(SHOT_DATASET!A19="","",SHOT_DATASET!F19)</x:f>
      </x:c>
      <x:c r="G19" s="4" t="str">
        <x:f>IF(SHOT_DATASET!A19="","",SHOT_DATASET!G19)</x:f>
      </x:c>
      <x:c r="H19" s="4" t="str">
        <x:f>IF(SHOT_DATASET!A19="","",SHOT_DATASET!H19)</x:f>
      </x:c>
      <x:c r="I19" s="14" t="str">
        <x:f>IF(SHOT_DATASET!A19="","",SHOT_DATASET!I19)</x:f>
      </x:c>
    </x:row>
    <x:row r="20">
      <x:c r="A20" s="6" t="str">
        <x:f>IF(SHOT_DATASET!A20="","",SHOT_DATASET!A20)</x:f>
      </x:c>
      <x:c r="B20" s="4" t="str">
        <x:f>IF(SHOT_DATASET!A20="","",SHOT_DATASET!B20)</x:f>
      </x:c>
      <x:c r="C20" s="4" t="str">
        <x:f>IF(SHOT_DATASET!A20="","",SHOT_DATASET!C20)</x:f>
      </x:c>
      <x:c r="D20" s="4" t="str">
        <x:f>IF(SHOT_DATASET!A20="","",SHOT_DATASET!D20)</x:f>
      </x:c>
      <x:c r="E20" s="4" t="str">
        <x:f>IF(SHOT_DATASET!A20="","",SHOT_DATASET!E20)</x:f>
      </x:c>
      <x:c r="F20" s="4" t="str">
        <x:f>IF(SHOT_DATASET!A20="","",SHOT_DATASET!F20)</x:f>
      </x:c>
      <x:c r="G20" s="4" t="str">
        <x:f>IF(SHOT_DATASET!A20="","",SHOT_DATASET!G20)</x:f>
      </x:c>
      <x:c r="H20" s="4" t="str">
        <x:f>IF(SHOT_DATASET!A20="","",SHOT_DATASET!H20)</x:f>
      </x:c>
      <x:c r="I20" s="14" t="str">
        <x:f>IF(SHOT_DATASET!A20="","",SHOT_DATASET!I20)</x:f>
      </x:c>
    </x:row>
    <x:row r="21">
      <x:c r="A21" s="6" t="str">
        <x:f>IF(SHOT_DATASET!A21="","",SHOT_DATASET!A21)</x:f>
      </x:c>
      <x:c r="B21" s="4" t="str">
        <x:f>IF(SHOT_DATASET!A21="","",SHOT_DATASET!B21)</x:f>
      </x:c>
      <x:c r="C21" s="4" t="str">
        <x:f>IF(SHOT_DATASET!A21="","",SHOT_DATASET!C21)</x:f>
      </x:c>
      <x:c r="D21" s="4" t="str">
        <x:f>IF(SHOT_DATASET!A21="","",SHOT_DATASET!D21)</x:f>
      </x:c>
      <x:c r="E21" s="4" t="str">
        <x:f>IF(SHOT_DATASET!A21="","",SHOT_DATASET!E21)</x:f>
      </x:c>
      <x:c r="F21" s="4" t="str">
        <x:f>IF(SHOT_DATASET!A21="","",SHOT_DATASET!F21)</x:f>
      </x:c>
      <x:c r="G21" s="4" t="str">
        <x:f>IF(SHOT_DATASET!A21="","",SHOT_DATASET!G21)</x:f>
      </x:c>
      <x:c r="H21" s="4" t="str">
        <x:f>IF(SHOT_DATASET!A21="","",SHOT_DATASET!H21)</x:f>
      </x:c>
      <x:c r="I21" s="14" t="str">
        <x:f>IF(SHOT_DATASET!A21="","",SHOT_DATASET!I21)</x:f>
      </x:c>
    </x:row>
    <x:row r="22">
      <x:c r="A22" s="6" t="str">
        <x:f>IF(SHOT_DATASET!A22="","",SHOT_DATASET!A22)</x:f>
      </x:c>
      <x:c r="B22" s="4" t="str">
        <x:f>IF(SHOT_DATASET!A22="","",SHOT_DATASET!B22)</x:f>
      </x:c>
      <x:c r="C22" s="4" t="str">
        <x:f>IF(SHOT_DATASET!A22="","",SHOT_DATASET!C22)</x:f>
      </x:c>
      <x:c r="D22" s="4" t="str">
        <x:f>IF(SHOT_DATASET!A22="","",SHOT_DATASET!D22)</x:f>
      </x:c>
      <x:c r="E22" s="4" t="str">
        <x:f>IF(SHOT_DATASET!A22="","",SHOT_DATASET!E22)</x:f>
      </x:c>
      <x:c r="F22" s="4" t="str">
        <x:f>IF(SHOT_DATASET!A22="","",SHOT_DATASET!F22)</x:f>
      </x:c>
      <x:c r="G22" s="4" t="str">
        <x:f>IF(SHOT_DATASET!A22="","",SHOT_DATASET!G22)</x:f>
      </x:c>
      <x:c r="H22" s="4" t="str">
        <x:f>IF(SHOT_DATASET!A22="","",SHOT_DATASET!H22)</x:f>
      </x:c>
      <x:c r="I22" s="14" t="str">
        <x:f>IF(SHOT_DATASET!A22="","",SHOT_DATASET!I22)</x:f>
      </x:c>
    </x:row>
    <x:row r="23">
      <x:c r="A23" s="6" t="str">
        <x:f>IF(SHOT_DATASET!A23="","",SHOT_DATASET!A23)</x:f>
      </x:c>
      <x:c r="B23" s="4" t="str">
        <x:f>IF(SHOT_DATASET!A23="","",SHOT_DATASET!B23)</x:f>
      </x:c>
      <x:c r="C23" s="4" t="str">
        <x:f>IF(SHOT_DATASET!A23="","",SHOT_DATASET!C23)</x:f>
      </x:c>
      <x:c r="D23" s="4" t="str">
        <x:f>IF(SHOT_DATASET!A23="","",SHOT_DATASET!D23)</x:f>
      </x:c>
      <x:c r="E23" s="4" t="str">
        <x:f>IF(SHOT_DATASET!A23="","",SHOT_DATASET!E23)</x:f>
      </x:c>
      <x:c r="F23" s="4" t="str">
        <x:f>IF(SHOT_DATASET!A23="","",SHOT_DATASET!F23)</x:f>
      </x:c>
      <x:c r="G23" s="4" t="str">
        <x:f>IF(SHOT_DATASET!A23="","",SHOT_DATASET!G23)</x:f>
      </x:c>
      <x:c r="H23" s="4" t="str">
        <x:f>IF(SHOT_DATASET!A23="","",SHOT_DATASET!H23)</x:f>
      </x:c>
      <x:c r="I23" s="14" t="str">
        <x:f>IF(SHOT_DATASET!A23="","",SHOT_DATASET!I23)</x:f>
      </x:c>
    </x:row>
    <x:row r="24">
      <x:c r="A24" s="6" t="str">
        <x:f>IF(SHOT_DATASET!A24="","",SHOT_DATASET!A24)</x:f>
      </x:c>
      <x:c r="B24" s="4" t="str">
        <x:f>IF(SHOT_DATASET!A24="","",SHOT_DATASET!B24)</x:f>
      </x:c>
      <x:c r="C24" s="4" t="str">
        <x:f>IF(SHOT_DATASET!A24="","",SHOT_DATASET!C24)</x:f>
      </x:c>
      <x:c r="D24" s="4" t="str">
        <x:f>IF(SHOT_DATASET!A24="","",SHOT_DATASET!D24)</x:f>
      </x:c>
      <x:c r="E24" s="4" t="str">
        <x:f>IF(SHOT_DATASET!A24="","",SHOT_DATASET!E24)</x:f>
      </x:c>
      <x:c r="F24" s="4" t="str">
        <x:f>IF(SHOT_DATASET!A24="","",SHOT_DATASET!F24)</x:f>
      </x:c>
      <x:c r="G24" s="4" t="str">
        <x:f>IF(SHOT_DATASET!A24="","",SHOT_DATASET!G24)</x:f>
      </x:c>
      <x:c r="H24" s="4" t="str">
        <x:f>IF(SHOT_DATASET!A24="","",SHOT_DATASET!H24)</x:f>
      </x:c>
      <x:c r="I24" s="14" t="str">
        <x:f>IF(SHOT_DATASET!A24="","",SHOT_DATASET!I24)</x:f>
      </x:c>
    </x:row>
    <x:row r="25">
      <x:c r="A25" s="6" t="str">
        <x:f>IF(SHOT_DATASET!A25="","",SHOT_DATASET!A25)</x:f>
      </x:c>
      <x:c r="B25" s="4" t="str">
        <x:f>IF(SHOT_DATASET!A25="","",SHOT_DATASET!B25)</x:f>
      </x:c>
      <x:c r="C25" s="4" t="str">
        <x:f>IF(SHOT_DATASET!A25="","",SHOT_DATASET!C25)</x:f>
      </x:c>
      <x:c r="D25" s="4" t="str">
        <x:f>IF(SHOT_DATASET!A25="","",SHOT_DATASET!D25)</x:f>
      </x:c>
      <x:c r="E25" s="4" t="str">
        <x:f>IF(SHOT_DATASET!A25="","",SHOT_DATASET!E25)</x:f>
      </x:c>
      <x:c r="F25" s="4" t="str">
        <x:f>IF(SHOT_DATASET!A25="","",SHOT_DATASET!F25)</x:f>
      </x:c>
      <x:c r="G25" s="4" t="str">
        <x:f>IF(SHOT_DATASET!A25="","",SHOT_DATASET!G25)</x:f>
      </x:c>
      <x:c r="H25" s="4" t="str">
        <x:f>IF(SHOT_DATASET!A25="","",SHOT_DATASET!H25)</x:f>
      </x:c>
      <x:c r="I25" s="14" t="str">
        <x:f>IF(SHOT_DATASET!A25="","",SHOT_DATASET!I25)</x:f>
      </x:c>
    </x:row>
    <x:row r="26">
      <x:c r="A26" s="6" t="str">
        <x:f>IF(SHOT_DATASET!A26="","",SHOT_DATASET!A26)</x:f>
      </x:c>
      <x:c r="B26" s="4" t="str">
        <x:f>IF(SHOT_DATASET!A26="","",SHOT_DATASET!B26)</x:f>
      </x:c>
      <x:c r="C26" s="4" t="str">
        <x:f>IF(SHOT_DATASET!A26="","",SHOT_DATASET!C26)</x:f>
      </x:c>
      <x:c r="D26" s="4" t="str">
        <x:f>IF(SHOT_DATASET!A26="","",SHOT_DATASET!D26)</x:f>
      </x:c>
      <x:c r="E26" s="4" t="str">
        <x:f>IF(SHOT_DATASET!A26="","",SHOT_DATASET!E26)</x:f>
      </x:c>
      <x:c r="F26" s="4" t="str">
        <x:f>IF(SHOT_DATASET!A26="","",SHOT_DATASET!F26)</x:f>
      </x:c>
      <x:c r="G26" s="4" t="str">
        <x:f>IF(SHOT_DATASET!A26="","",SHOT_DATASET!G26)</x:f>
      </x:c>
      <x:c r="H26" s="4" t="str">
        <x:f>IF(SHOT_DATASET!A26="","",SHOT_DATASET!H26)</x:f>
      </x:c>
      <x:c r="I26" s="14" t="str">
        <x:f>IF(SHOT_DATASET!A26="","",SHOT_DATASET!I26)</x:f>
      </x:c>
    </x:row>
    <x:row r="27">
      <x:c r="A27" s="6" t="str">
        <x:f>IF(SHOT_DATASET!A27="","",SHOT_DATASET!A27)</x:f>
      </x:c>
      <x:c r="B27" s="4" t="str">
        <x:f>IF(SHOT_DATASET!A27="","",SHOT_DATASET!B27)</x:f>
      </x:c>
      <x:c r="C27" s="4" t="str">
        <x:f>IF(SHOT_DATASET!A27="","",SHOT_DATASET!C27)</x:f>
      </x:c>
      <x:c r="D27" s="4" t="str">
        <x:f>IF(SHOT_DATASET!A27="","",SHOT_DATASET!D27)</x:f>
      </x:c>
      <x:c r="E27" s="4" t="str">
        <x:f>IF(SHOT_DATASET!A27="","",SHOT_DATASET!E27)</x:f>
      </x:c>
      <x:c r="F27" s="4" t="str">
        <x:f>IF(SHOT_DATASET!A27="","",SHOT_DATASET!F27)</x:f>
      </x:c>
      <x:c r="G27" s="4" t="str">
        <x:f>IF(SHOT_DATASET!A27="","",SHOT_DATASET!G27)</x:f>
      </x:c>
      <x:c r="H27" s="4" t="str">
        <x:f>IF(SHOT_DATASET!A27="","",SHOT_DATASET!H27)</x:f>
      </x:c>
      <x:c r="I27" s="14" t="str">
        <x:f>IF(SHOT_DATASET!A27="","",SHOT_DATASET!I27)</x:f>
      </x:c>
    </x:row>
    <x:row r="28">
      <x:c r="A28" s="6" t="str">
        <x:f>IF(SHOT_DATASET!A28="","",SHOT_DATASET!A28)</x:f>
      </x:c>
      <x:c r="B28" s="4" t="str">
        <x:f>IF(SHOT_DATASET!A28="","",SHOT_DATASET!B28)</x:f>
      </x:c>
      <x:c r="C28" s="4" t="str">
        <x:f>IF(SHOT_DATASET!A28="","",SHOT_DATASET!C28)</x:f>
      </x:c>
      <x:c r="D28" s="4" t="str">
        <x:f>IF(SHOT_DATASET!A28="","",SHOT_DATASET!D28)</x:f>
      </x:c>
      <x:c r="E28" s="4" t="str">
        <x:f>IF(SHOT_DATASET!A28="","",SHOT_DATASET!E28)</x:f>
      </x:c>
      <x:c r="F28" s="4" t="str">
        <x:f>IF(SHOT_DATASET!A28="","",SHOT_DATASET!F28)</x:f>
      </x:c>
      <x:c r="G28" s="4" t="str">
        <x:f>IF(SHOT_DATASET!A28="","",SHOT_DATASET!G28)</x:f>
      </x:c>
      <x:c r="H28" s="4" t="str">
        <x:f>IF(SHOT_DATASET!A28="","",SHOT_DATASET!H28)</x:f>
      </x:c>
      <x:c r="I28" s="14" t="str">
        <x:f>IF(SHOT_DATASET!A28="","",SHOT_DATASET!I28)</x:f>
      </x:c>
    </x:row>
    <x:row r="29">
      <x:c r="A29" s="6" t="str">
        <x:f>IF(SHOT_DATASET!A29="","",SHOT_DATASET!A29)</x:f>
      </x:c>
      <x:c r="B29" s="4" t="str">
        <x:f>IF(SHOT_DATASET!A29="","",SHOT_DATASET!B29)</x:f>
      </x:c>
      <x:c r="C29" s="4" t="str">
        <x:f>IF(SHOT_DATASET!A29="","",SHOT_DATASET!C29)</x:f>
      </x:c>
      <x:c r="D29" s="4" t="str">
        <x:f>IF(SHOT_DATASET!A29="","",SHOT_DATASET!D29)</x:f>
      </x:c>
      <x:c r="E29" s="4" t="str">
        <x:f>IF(SHOT_DATASET!A29="","",SHOT_DATASET!E29)</x:f>
      </x:c>
      <x:c r="F29" s="4" t="str">
        <x:f>IF(SHOT_DATASET!A29="","",SHOT_DATASET!F29)</x:f>
      </x:c>
      <x:c r="G29" s="4" t="str">
        <x:f>IF(SHOT_DATASET!A29="","",SHOT_DATASET!G29)</x:f>
      </x:c>
      <x:c r="H29" s="4" t="str">
        <x:f>IF(SHOT_DATASET!A29="","",SHOT_DATASET!H29)</x:f>
      </x:c>
      <x:c r="I29" s="14" t="str">
        <x:f>IF(SHOT_DATASET!A29="","",SHOT_DATASET!I29)</x:f>
      </x:c>
    </x:row>
    <x:row r="30">
      <x:c r="A30" s="6" t="str">
        <x:f>IF(SHOT_DATASET!A30="","",SHOT_DATASET!A30)</x:f>
      </x:c>
      <x:c r="B30" s="4" t="str">
        <x:f>IF(SHOT_DATASET!A30="","",SHOT_DATASET!B30)</x:f>
      </x:c>
      <x:c r="C30" s="4" t="str">
        <x:f>IF(SHOT_DATASET!A30="","",SHOT_DATASET!C30)</x:f>
      </x:c>
      <x:c r="D30" s="4" t="str">
        <x:f>IF(SHOT_DATASET!A30="","",SHOT_DATASET!D30)</x:f>
      </x:c>
      <x:c r="E30" s="4" t="str">
        <x:f>IF(SHOT_DATASET!A30="","",SHOT_DATASET!E30)</x:f>
      </x:c>
      <x:c r="F30" s="4" t="str">
        <x:f>IF(SHOT_DATASET!A30="","",SHOT_DATASET!F30)</x:f>
      </x:c>
      <x:c r="G30" s="4" t="str">
        <x:f>IF(SHOT_DATASET!A30="","",SHOT_DATASET!G30)</x:f>
      </x:c>
      <x:c r="H30" s="4" t="str">
        <x:f>IF(SHOT_DATASET!A30="","",SHOT_DATASET!H30)</x:f>
      </x:c>
      <x:c r="I30" s="14" t="str">
        <x:f>IF(SHOT_DATASET!A30="","",SHOT_DATASET!I30)</x:f>
      </x:c>
    </x:row>
    <x:row r="31">
      <x:c r="A31" s="6" t="str">
        <x:f>IF(SHOT_DATASET!A31="","",SHOT_DATASET!A31)</x:f>
      </x:c>
      <x:c r="B31" s="4" t="str">
        <x:f>IF(SHOT_DATASET!A31="","",SHOT_DATASET!B31)</x:f>
      </x:c>
      <x:c r="C31" s="4" t="str">
        <x:f>IF(SHOT_DATASET!A31="","",SHOT_DATASET!C31)</x:f>
      </x:c>
      <x:c r="D31" s="4" t="str">
        <x:f>IF(SHOT_DATASET!A31="","",SHOT_DATASET!D31)</x:f>
      </x:c>
      <x:c r="E31" s="4" t="str">
        <x:f>IF(SHOT_DATASET!A31="","",SHOT_DATASET!E31)</x:f>
      </x:c>
      <x:c r="F31" s="4" t="str">
        <x:f>IF(SHOT_DATASET!A31="","",SHOT_DATASET!F31)</x:f>
      </x:c>
      <x:c r="G31" s="4" t="str">
        <x:f>IF(SHOT_DATASET!A31="","",SHOT_DATASET!G31)</x:f>
      </x:c>
      <x:c r="H31" s="4" t="str">
        <x:f>IF(SHOT_DATASET!A31="","",SHOT_DATASET!H31)</x:f>
      </x:c>
      <x:c r="I31" s="14" t="str">
        <x:f>IF(SHOT_DATASET!A31="","",SHOT_DATASET!I31)</x:f>
      </x:c>
    </x:row>
    <x:row r="32">
      <x:c r="A32" s="6" t="str">
        <x:f>IF(SHOT_DATASET!A32="","",SHOT_DATASET!A32)</x:f>
      </x:c>
      <x:c r="B32" s="4" t="str">
        <x:f>IF(SHOT_DATASET!A32="","",SHOT_DATASET!B32)</x:f>
      </x:c>
      <x:c r="C32" s="4" t="str">
        <x:f>IF(SHOT_DATASET!A32="","",SHOT_DATASET!C32)</x:f>
      </x:c>
      <x:c r="D32" s="4" t="str">
        <x:f>IF(SHOT_DATASET!A32="","",SHOT_DATASET!D32)</x:f>
      </x:c>
      <x:c r="E32" s="4" t="str">
        <x:f>IF(SHOT_DATASET!A32="","",SHOT_DATASET!E32)</x:f>
      </x:c>
      <x:c r="F32" s="4" t="str">
        <x:f>IF(SHOT_DATASET!A32="","",SHOT_DATASET!F32)</x:f>
      </x:c>
      <x:c r="G32" s="4" t="str">
        <x:f>IF(SHOT_DATASET!A32="","",SHOT_DATASET!G32)</x:f>
      </x:c>
      <x:c r="H32" s="4" t="str">
        <x:f>IF(SHOT_DATASET!A32="","",SHOT_DATASET!H32)</x:f>
      </x:c>
      <x:c r="I32" s="14" t="str">
        <x:f>IF(SHOT_DATASET!A32="","",SHOT_DATASET!I32)</x:f>
      </x:c>
    </x:row>
    <x:row r="33">
      <x:c r="A33" s="6" t="str">
        <x:f>IF(SHOT_DATASET!A33="","",SHOT_DATASET!A33)</x:f>
      </x:c>
      <x:c r="B33" s="4" t="str">
        <x:f>IF(SHOT_DATASET!A33="","",SHOT_DATASET!B33)</x:f>
      </x:c>
      <x:c r="C33" s="4" t="str">
        <x:f>IF(SHOT_DATASET!A33="","",SHOT_DATASET!C33)</x:f>
      </x:c>
      <x:c r="D33" s="4" t="str">
        <x:f>IF(SHOT_DATASET!A33="","",SHOT_DATASET!D33)</x:f>
      </x:c>
      <x:c r="E33" s="4" t="str">
        <x:f>IF(SHOT_DATASET!A33="","",SHOT_DATASET!E33)</x:f>
      </x:c>
      <x:c r="F33" s="4" t="str">
        <x:f>IF(SHOT_DATASET!A33="","",SHOT_DATASET!F33)</x:f>
      </x:c>
      <x:c r="G33" s="4" t="str">
        <x:f>IF(SHOT_DATASET!A33="","",SHOT_DATASET!G33)</x:f>
      </x:c>
      <x:c r="H33" s="4" t="str">
        <x:f>IF(SHOT_DATASET!A33="","",SHOT_DATASET!H33)</x:f>
      </x:c>
      <x:c r="I33" s="14" t="str">
        <x:f>IF(SHOT_DATASET!A33="","",SHOT_DATASET!I33)</x:f>
      </x:c>
    </x:row>
    <x:row r="34">
      <x:c r="A34" s="6" t="str">
        <x:f>IF(SHOT_DATASET!A34="","",SHOT_DATASET!A34)</x:f>
      </x:c>
      <x:c r="B34" s="4" t="str">
        <x:f>IF(SHOT_DATASET!A34="","",SHOT_DATASET!B34)</x:f>
      </x:c>
      <x:c r="C34" s="4" t="str">
        <x:f>IF(SHOT_DATASET!A34="","",SHOT_DATASET!C34)</x:f>
      </x:c>
      <x:c r="D34" s="4" t="str">
        <x:f>IF(SHOT_DATASET!A34="","",SHOT_DATASET!D34)</x:f>
      </x:c>
      <x:c r="E34" s="4" t="str">
        <x:f>IF(SHOT_DATASET!A34="","",SHOT_DATASET!E34)</x:f>
      </x:c>
      <x:c r="F34" s="4" t="str">
        <x:f>IF(SHOT_DATASET!A34="","",SHOT_DATASET!F34)</x:f>
      </x:c>
      <x:c r="G34" s="4" t="str">
        <x:f>IF(SHOT_DATASET!A34="","",SHOT_DATASET!G34)</x:f>
      </x:c>
      <x:c r="H34" s="4" t="str">
        <x:f>IF(SHOT_DATASET!A34="","",SHOT_DATASET!H34)</x:f>
      </x:c>
      <x:c r="I34" s="14" t="str">
        <x:f>IF(SHOT_DATASET!A34="","",SHOT_DATASET!I34)</x:f>
      </x:c>
    </x:row>
    <x:row r="35">
      <x:c r="A35" s="6" t="str">
        <x:f>IF(SHOT_DATASET!A35="","",SHOT_DATASET!A35)</x:f>
      </x:c>
      <x:c r="B35" s="4" t="str">
        <x:f>IF(SHOT_DATASET!A35="","",SHOT_DATASET!B35)</x:f>
      </x:c>
      <x:c r="C35" s="4" t="str">
        <x:f>IF(SHOT_DATASET!A35="","",SHOT_DATASET!C35)</x:f>
      </x:c>
      <x:c r="D35" s="4" t="str">
        <x:f>IF(SHOT_DATASET!A35="","",SHOT_DATASET!D35)</x:f>
      </x:c>
      <x:c r="E35" s="4" t="str">
        <x:f>IF(SHOT_DATASET!A35="","",SHOT_DATASET!E35)</x:f>
      </x:c>
      <x:c r="F35" s="4" t="str">
        <x:f>IF(SHOT_DATASET!A35="","",SHOT_DATASET!F35)</x:f>
      </x:c>
      <x:c r="G35" s="4" t="str">
        <x:f>IF(SHOT_DATASET!A35="","",SHOT_DATASET!G35)</x:f>
      </x:c>
      <x:c r="H35" s="4" t="str">
        <x:f>IF(SHOT_DATASET!A35="","",SHOT_DATASET!H35)</x:f>
      </x:c>
      <x:c r="I35" s="14" t="str">
        <x:f>IF(SHOT_DATASET!A35="","",SHOT_DATASET!I35)</x:f>
      </x:c>
    </x:row>
    <x:row r="36">
      <x:c r="A36" s="6" t="str">
        <x:f>IF(SHOT_DATASET!A36="","",SHOT_DATASET!A36)</x:f>
      </x:c>
      <x:c r="B36" s="4" t="str">
        <x:f>IF(SHOT_DATASET!A36="","",SHOT_DATASET!B36)</x:f>
      </x:c>
      <x:c r="C36" s="4" t="str">
        <x:f>IF(SHOT_DATASET!A36="","",SHOT_DATASET!C36)</x:f>
      </x:c>
      <x:c r="D36" s="4" t="str">
        <x:f>IF(SHOT_DATASET!A36="","",SHOT_DATASET!D36)</x:f>
      </x:c>
      <x:c r="E36" s="4" t="str">
        <x:f>IF(SHOT_DATASET!A36="","",SHOT_DATASET!E36)</x:f>
      </x:c>
      <x:c r="F36" s="4" t="str">
        <x:f>IF(SHOT_DATASET!A36="","",SHOT_DATASET!F36)</x:f>
      </x:c>
      <x:c r="G36" s="4" t="str">
        <x:f>IF(SHOT_DATASET!A36="","",SHOT_DATASET!G36)</x:f>
      </x:c>
      <x:c r="H36" s="4" t="str">
        <x:f>IF(SHOT_DATASET!A36="","",SHOT_DATASET!H36)</x:f>
      </x:c>
      <x:c r="I36" s="14" t="str">
        <x:f>IF(SHOT_DATASET!A36="","",SHOT_DATASET!I36)</x:f>
      </x:c>
    </x:row>
    <x:row r="37">
      <x:c r="A37" s="6" t="str">
        <x:f>IF(SHOT_DATASET!A37="","",SHOT_DATASET!A37)</x:f>
      </x:c>
      <x:c r="B37" s="4" t="str">
        <x:f>IF(SHOT_DATASET!A37="","",SHOT_DATASET!B37)</x:f>
      </x:c>
      <x:c r="C37" s="4" t="str">
        <x:f>IF(SHOT_DATASET!A37="","",SHOT_DATASET!C37)</x:f>
      </x:c>
      <x:c r="D37" s="4" t="str">
        <x:f>IF(SHOT_DATASET!A37="","",SHOT_DATASET!D37)</x:f>
      </x:c>
      <x:c r="E37" s="4" t="str">
        <x:f>IF(SHOT_DATASET!A37="","",SHOT_DATASET!E37)</x:f>
      </x:c>
      <x:c r="F37" s="4" t="str">
        <x:f>IF(SHOT_DATASET!A37="","",SHOT_DATASET!F37)</x:f>
      </x:c>
      <x:c r="G37" s="4" t="str">
        <x:f>IF(SHOT_DATASET!A37="","",SHOT_DATASET!G37)</x:f>
      </x:c>
      <x:c r="H37" s="4" t="str">
        <x:f>IF(SHOT_DATASET!A37="","",SHOT_DATASET!H37)</x:f>
      </x:c>
      <x:c r="I37" s="14" t="str">
        <x:f>IF(SHOT_DATASET!A37="","",SHOT_DATASET!I37)</x:f>
      </x:c>
    </x:row>
    <x:row r="38">
      <x:c r="A38" s="6" t="str">
        <x:f>IF(SHOT_DATASET!A38="","",SHOT_DATASET!A38)</x:f>
      </x:c>
      <x:c r="B38" s="4" t="str">
        <x:f>IF(SHOT_DATASET!A38="","",SHOT_DATASET!B38)</x:f>
      </x:c>
      <x:c r="C38" s="4" t="str">
        <x:f>IF(SHOT_DATASET!A38="","",SHOT_DATASET!C38)</x:f>
      </x:c>
      <x:c r="D38" s="4" t="str">
        <x:f>IF(SHOT_DATASET!A38="","",SHOT_DATASET!D38)</x:f>
      </x:c>
      <x:c r="E38" s="4" t="str">
        <x:f>IF(SHOT_DATASET!A38="","",SHOT_DATASET!E38)</x:f>
      </x:c>
      <x:c r="F38" s="4" t="str">
        <x:f>IF(SHOT_DATASET!A38="","",SHOT_DATASET!F38)</x:f>
      </x:c>
      <x:c r="G38" s="4" t="str">
        <x:f>IF(SHOT_DATASET!A38="","",SHOT_DATASET!G38)</x:f>
      </x:c>
      <x:c r="H38" s="4" t="str">
        <x:f>IF(SHOT_DATASET!A38="","",SHOT_DATASET!H38)</x:f>
      </x:c>
      <x:c r="I38" s="14" t="str">
        <x:f>IF(SHOT_DATASET!A38="","",SHOT_DATASET!I38)</x:f>
      </x:c>
    </x:row>
    <x:row r="39">
      <x:c r="A39" s="6" t="str">
        <x:f>IF(SHOT_DATASET!A39="","",SHOT_DATASET!A39)</x:f>
      </x:c>
      <x:c r="B39" s="4" t="str">
        <x:f>IF(SHOT_DATASET!A39="","",SHOT_DATASET!B39)</x:f>
      </x:c>
      <x:c r="C39" s="4" t="str">
        <x:f>IF(SHOT_DATASET!A39="","",SHOT_DATASET!C39)</x:f>
      </x:c>
      <x:c r="D39" s="4" t="str">
        <x:f>IF(SHOT_DATASET!A39="","",SHOT_DATASET!D39)</x:f>
      </x:c>
      <x:c r="E39" s="4" t="str">
        <x:f>IF(SHOT_DATASET!A39="","",SHOT_DATASET!E39)</x:f>
      </x:c>
      <x:c r="F39" s="4" t="str">
        <x:f>IF(SHOT_DATASET!A39="","",SHOT_DATASET!F39)</x:f>
      </x:c>
      <x:c r="G39" s="4" t="str">
        <x:f>IF(SHOT_DATASET!A39="","",SHOT_DATASET!G39)</x:f>
      </x:c>
      <x:c r="H39" s="4" t="str">
        <x:f>IF(SHOT_DATASET!A39="","",SHOT_DATASET!H39)</x:f>
      </x:c>
      <x:c r="I39" s="14" t="str">
        <x:f>IF(SHOT_DATASET!A39="","",SHOT_DATASET!I39)</x:f>
      </x:c>
    </x:row>
    <x:row r="40">
      <x:c r="A40" s="6" t="str">
        <x:f>IF(SHOT_DATASET!A40="","",SHOT_DATASET!A40)</x:f>
      </x:c>
      <x:c r="B40" s="4" t="str">
        <x:f>IF(SHOT_DATASET!A40="","",SHOT_DATASET!B40)</x:f>
      </x:c>
      <x:c r="C40" s="4" t="str">
        <x:f>IF(SHOT_DATASET!A40="","",SHOT_DATASET!C40)</x:f>
      </x:c>
      <x:c r="D40" s="4" t="str">
        <x:f>IF(SHOT_DATASET!A40="","",SHOT_DATASET!D40)</x:f>
      </x:c>
      <x:c r="E40" s="4" t="str">
        <x:f>IF(SHOT_DATASET!A40="","",SHOT_DATASET!E40)</x:f>
      </x:c>
      <x:c r="F40" s="4" t="str">
        <x:f>IF(SHOT_DATASET!A40="","",SHOT_DATASET!F40)</x:f>
      </x:c>
      <x:c r="G40" s="4" t="str">
        <x:f>IF(SHOT_DATASET!A40="","",SHOT_DATASET!G40)</x:f>
      </x:c>
      <x:c r="H40" s="4" t="str">
        <x:f>IF(SHOT_DATASET!A40="","",SHOT_DATASET!H40)</x:f>
      </x:c>
      <x:c r="I40" s="14" t="str">
        <x:f>IF(SHOT_DATASET!A40="","",SHOT_DATASET!I40)</x:f>
      </x:c>
    </x:row>
    <x:row r="41">
      <x:c r="A41" s="6" t="str">
        <x:f>IF(SHOT_DATASET!A41="","",SHOT_DATASET!A41)</x:f>
      </x:c>
      <x:c r="B41" s="4" t="str">
        <x:f>IF(SHOT_DATASET!A41="","",SHOT_DATASET!B41)</x:f>
      </x:c>
      <x:c r="C41" s="4" t="str">
        <x:f>IF(SHOT_DATASET!A41="","",SHOT_DATASET!C41)</x:f>
      </x:c>
      <x:c r="D41" s="4" t="str">
        <x:f>IF(SHOT_DATASET!A41="","",SHOT_DATASET!D41)</x:f>
      </x:c>
      <x:c r="E41" s="4" t="str">
        <x:f>IF(SHOT_DATASET!A41="","",SHOT_DATASET!E41)</x:f>
      </x:c>
      <x:c r="F41" s="4" t="str">
        <x:f>IF(SHOT_DATASET!A41="","",SHOT_DATASET!F41)</x:f>
      </x:c>
      <x:c r="G41" s="4" t="str">
        <x:f>IF(SHOT_DATASET!A41="","",SHOT_DATASET!G41)</x:f>
      </x:c>
      <x:c r="H41" s="4" t="str">
        <x:f>IF(SHOT_DATASET!A41="","",SHOT_DATASET!H41)</x:f>
      </x:c>
      <x:c r="I41" s="14" t="str">
        <x:f>IF(SHOT_DATASET!A41="","",SHOT_DATASET!I41)</x:f>
      </x:c>
    </x:row>
    <x:row r="42">
      <x:c r="A42" s="6" t="str">
        <x:f>IF(SHOT_DATASET!A42="","",SHOT_DATASET!A42)</x:f>
      </x:c>
      <x:c r="B42" s="4" t="str">
        <x:f>IF(SHOT_DATASET!A42="","",SHOT_DATASET!B42)</x:f>
      </x:c>
      <x:c r="C42" s="4" t="str">
        <x:f>IF(SHOT_DATASET!A42="","",SHOT_DATASET!C42)</x:f>
      </x:c>
      <x:c r="D42" s="4" t="str">
        <x:f>IF(SHOT_DATASET!A42="","",SHOT_DATASET!D42)</x:f>
      </x:c>
      <x:c r="E42" s="4" t="str">
        <x:f>IF(SHOT_DATASET!A42="","",SHOT_DATASET!E42)</x:f>
      </x:c>
      <x:c r="F42" s="4" t="str">
        <x:f>IF(SHOT_DATASET!A42="","",SHOT_DATASET!F42)</x:f>
      </x:c>
      <x:c r="G42" s="4" t="str">
        <x:f>IF(SHOT_DATASET!A42="","",SHOT_DATASET!G42)</x:f>
      </x:c>
      <x:c r="H42" s="4" t="str">
        <x:f>IF(SHOT_DATASET!A42="","",SHOT_DATASET!H42)</x:f>
      </x:c>
      <x:c r="I42" s="14" t="str">
        <x:f>IF(SHOT_DATASET!A42="","",SHOT_DATASET!I42)</x:f>
      </x:c>
    </x:row>
    <x:row r="43">
      <x:c r="A43" s="6" t="str">
        <x:f>IF(SHOT_DATASET!A43="","",SHOT_DATASET!A43)</x:f>
      </x:c>
      <x:c r="B43" s="4" t="str">
        <x:f>IF(SHOT_DATASET!A43="","",SHOT_DATASET!B43)</x:f>
      </x:c>
      <x:c r="C43" s="4" t="str">
        <x:f>IF(SHOT_DATASET!A43="","",SHOT_DATASET!C43)</x:f>
      </x:c>
      <x:c r="D43" s="4" t="str">
        <x:f>IF(SHOT_DATASET!A43="","",SHOT_DATASET!D43)</x:f>
      </x:c>
      <x:c r="E43" s="4" t="str">
        <x:f>IF(SHOT_DATASET!A43="","",SHOT_DATASET!E43)</x:f>
      </x:c>
      <x:c r="F43" s="4" t="str">
        <x:f>IF(SHOT_DATASET!A43="","",SHOT_DATASET!F43)</x:f>
      </x:c>
      <x:c r="G43" s="4" t="str">
        <x:f>IF(SHOT_DATASET!A43="","",SHOT_DATASET!G43)</x:f>
      </x:c>
      <x:c r="H43" s="4" t="str">
        <x:f>IF(SHOT_DATASET!A43="","",SHOT_DATASET!H43)</x:f>
      </x:c>
      <x:c r="I43" s="14" t="str">
        <x:f>IF(SHOT_DATASET!A43="","",SHOT_DATASET!I43)</x:f>
      </x:c>
    </x:row>
    <x:row r="44">
      <x:c r="A44" s="6" t="str">
        <x:f>IF(SHOT_DATASET!A44="","",SHOT_DATASET!A44)</x:f>
      </x:c>
      <x:c r="B44" s="4" t="str">
        <x:f>IF(SHOT_DATASET!A44="","",SHOT_DATASET!B44)</x:f>
      </x:c>
      <x:c r="C44" s="4" t="str">
        <x:f>IF(SHOT_DATASET!A44="","",SHOT_DATASET!C44)</x:f>
      </x:c>
      <x:c r="D44" s="4" t="str">
        <x:f>IF(SHOT_DATASET!A44="","",SHOT_DATASET!D44)</x:f>
      </x:c>
      <x:c r="E44" s="4" t="str">
        <x:f>IF(SHOT_DATASET!A44="","",SHOT_DATASET!E44)</x:f>
      </x:c>
      <x:c r="F44" s="4" t="str">
        <x:f>IF(SHOT_DATASET!A44="","",SHOT_DATASET!F44)</x:f>
      </x:c>
      <x:c r="G44" s="4" t="str">
        <x:f>IF(SHOT_DATASET!A44="","",SHOT_DATASET!G44)</x:f>
      </x:c>
      <x:c r="H44" s="4" t="str">
        <x:f>IF(SHOT_DATASET!A44="","",SHOT_DATASET!H44)</x:f>
      </x:c>
      <x:c r="I44" s="14" t="str">
        <x:f>IF(SHOT_DATASET!A44="","",SHOT_DATASET!I44)</x:f>
      </x:c>
    </x:row>
    <x:row r="45">
      <x:c r="A45" s="6" t="str">
        <x:f>IF(SHOT_DATASET!A45="","",SHOT_DATASET!A45)</x:f>
      </x:c>
      <x:c r="B45" s="4" t="str">
        <x:f>IF(SHOT_DATASET!A45="","",SHOT_DATASET!B45)</x:f>
      </x:c>
      <x:c r="C45" s="4" t="str">
        <x:f>IF(SHOT_DATASET!A45="","",SHOT_DATASET!C45)</x:f>
      </x:c>
      <x:c r="D45" s="4" t="str">
        <x:f>IF(SHOT_DATASET!A45="","",SHOT_DATASET!D45)</x:f>
      </x:c>
      <x:c r="E45" s="4" t="str">
        <x:f>IF(SHOT_DATASET!A45="","",SHOT_DATASET!E45)</x:f>
      </x:c>
      <x:c r="F45" s="4" t="str">
        <x:f>IF(SHOT_DATASET!A45="","",SHOT_DATASET!F45)</x:f>
      </x:c>
      <x:c r="G45" s="4" t="str">
        <x:f>IF(SHOT_DATASET!A45="","",SHOT_DATASET!G45)</x:f>
      </x:c>
      <x:c r="H45" s="4" t="str">
        <x:f>IF(SHOT_DATASET!A45="","",SHOT_DATASET!H45)</x:f>
      </x:c>
      <x:c r="I45" s="14" t="str">
        <x:f>IF(SHOT_DATASET!A45="","",SHOT_DATASET!I45)</x:f>
      </x:c>
    </x:row>
    <x:row r="46">
      <x:c r="A46" s="6" t="str">
        <x:f>IF(SHOT_DATASET!A46="","",SHOT_DATASET!A46)</x:f>
      </x:c>
      <x:c r="B46" s="4" t="str">
        <x:f>IF(SHOT_DATASET!A46="","",SHOT_DATASET!B46)</x:f>
      </x:c>
      <x:c r="C46" s="4" t="str">
        <x:f>IF(SHOT_DATASET!A46="","",SHOT_DATASET!C46)</x:f>
      </x:c>
      <x:c r="D46" s="4" t="str">
        <x:f>IF(SHOT_DATASET!A46="","",SHOT_DATASET!D46)</x:f>
      </x:c>
      <x:c r="E46" s="4" t="str">
        <x:f>IF(SHOT_DATASET!A46="","",SHOT_DATASET!E46)</x:f>
      </x:c>
      <x:c r="F46" s="4" t="str">
        <x:f>IF(SHOT_DATASET!A46="","",SHOT_DATASET!F46)</x:f>
      </x:c>
      <x:c r="G46" s="4" t="str">
        <x:f>IF(SHOT_DATASET!A46="","",SHOT_DATASET!G46)</x:f>
      </x:c>
      <x:c r="H46" s="4" t="str">
        <x:f>IF(SHOT_DATASET!A46="","",SHOT_DATASET!H46)</x:f>
      </x:c>
      <x:c r="I46" s="14" t="str">
        <x:f>IF(SHOT_DATASET!A46="","",SHOT_DATASET!I46)</x:f>
      </x:c>
    </x:row>
    <x:row r="47">
      <x:c r="A47" s="6" t="str">
        <x:f>IF(SHOT_DATASET!A47="","",SHOT_DATASET!A47)</x:f>
      </x:c>
      <x:c r="B47" s="4" t="str">
        <x:f>IF(SHOT_DATASET!A47="","",SHOT_DATASET!B47)</x:f>
      </x:c>
      <x:c r="C47" s="4" t="str">
        <x:f>IF(SHOT_DATASET!A47="","",SHOT_DATASET!C47)</x:f>
      </x:c>
      <x:c r="D47" s="4" t="str">
        <x:f>IF(SHOT_DATASET!A47="","",SHOT_DATASET!D47)</x:f>
      </x:c>
      <x:c r="E47" s="4" t="str">
        <x:f>IF(SHOT_DATASET!A47="","",SHOT_DATASET!E47)</x:f>
      </x:c>
      <x:c r="F47" s="4" t="str">
        <x:f>IF(SHOT_DATASET!A47="","",SHOT_DATASET!F47)</x:f>
      </x:c>
      <x:c r="G47" s="4" t="str">
        <x:f>IF(SHOT_DATASET!A47="","",SHOT_DATASET!G47)</x:f>
      </x:c>
      <x:c r="H47" s="4" t="str">
        <x:f>IF(SHOT_DATASET!A47="","",SHOT_DATASET!H47)</x:f>
      </x:c>
      <x:c r="I47" s="14" t="str">
        <x:f>IF(SHOT_DATASET!A47="","",SHOT_DATASET!I47)</x:f>
      </x:c>
    </x:row>
    <x:row r="48">
      <x:c r="A48" s="6" t="str">
        <x:f>IF(SHOT_DATASET!A48="","",SHOT_DATASET!A48)</x:f>
      </x:c>
      <x:c r="B48" s="4" t="str">
        <x:f>IF(SHOT_DATASET!A48="","",SHOT_DATASET!B48)</x:f>
      </x:c>
      <x:c r="C48" s="4" t="str">
        <x:f>IF(SHOT_DATASET!A48="","",SHOT_DATASET!C48)</x:f>
      </x:c>
      <x:c r="D48" s="4" t="str">
        <x:f>IF(SHOT_DATASET!A48="","",SHOT_DATASET!D48)</x:f>
      </x:c>
      <x:c r="E48" s="4" t="str">
        <x:f>IF(SHOT_DATASET!A48="","",SHOT_DATASET!E48)</x:f>
      </x:c>
      <x:c r="F48" s="4" t="str">
        <x:f>IF(SHOT_DATASET!A48="","",SHOT_DATASET!F48)</x:f>
      </x:c>
      <x:c r="G48" s="4" t="str">
        <x:f>IF(SHOT_DATASET!A48="","",SHOT_DATASET!G48)</x:f>
      </x:c>
      <x:c r="H48" s="4" t="str">
        <x:f>IF(SHOT_DATASET!A48="","",SHOT_DATASET!H48)</x:f>
      </x:c>
      <x:c r="I48" s="14" t="str">
        <x:f>IF(SHOT_DATASET!A48="","",SHOT_DATASET!I48)</x:f>
      </x:c>
    </x:row>
    <x:row r="49">
      <x:c r="A49" s="6" t="str">
        <x:f>IF(SHOT_DATASET!A49="","",SHOT_DATASET!A49)</x:f>
      </x:c>
      <x:c r="B49" s="4" t="str">
        <x:f>IF(SHOT_DATASET!A49="","",SHOT_DATASET!B49)</x:f>
      </x:c>
      <x:c r="C49" s="4" t="str">
        <x:f>IF(SHOT_DATASET!A49="","",SHOT_DATASET!C49)</x:f>
      </x:c>
      <x:c r="D49" s="4" t="str">
        <x:f>IF(SHOT_DATASET!A49="","",SHOT_DATASET!D49)</x:f>
      </x:c>
      <x:c r="E49" s="4" t="str">
        <x:f>IF(SHOT_DATASET!A49="","",SHOT_DATASET!E49)</x:f>
      </x:c>
      <x:c r="F49" s="4" t="str">
        <x:f>IF(SHOT_DATASET!A49="","",SHOT_DATASET!F49)</x:f>
      </x:c>
      <x:c r="G49" s="4" t="str">
        <x:f>IF(SHOT_DATASET!A49="","",SHOT_DATASET!G49)</x:f>
      </x:c>
      <x:c r="H49" s="4" t="str">
        <x:f>IF(SHOT_DATASET!A49="","",SHOT_DATASET!H49)</x:f>
      </x:c>
      <x:c r="I49" s="14" t="str">
        <x:f>IF(SHOT_DATASET!A49="","",SHOT_DATASET!I49)</x:f>
      </x:c>
    </x:row>
    <x:row r="50">
      <x:c r="A50" s="6" t="str">
        <x:f>IF(SHOT_DATASET!A50="","",SHOT_DATASET!A50)</x:f>
      </x:c>
      <x:c r="B50" s="4" t="str">
        <x:f>IF(SHOT_DATASET!A50="","",SHOT_DATASET!B50)</x:f>
      </x:c>
      <x:c r="C50" s="4" t="str">
        <x:f>IF(SHOT_DATASET!A50="","",SHOT_DATASET!C50)</x:f>
      </x:c>
      <x:c r="D50" s="4" t="str">
        <x:f>IF(SHOT_DATASET!A50="","",SHOT_DATASET!D50)</x:f>
      </x:c>
      <x:c r="E50" s="4" t="str">
        <x:f>IF(SHOT_DATASET!A50="","",SHOT_DATASET!E50)</x:f>
      </x:c>
      <x:c r="F50" s="4" t="str">
        <x:f>IF(SHOT_DATASET!A50="","",SHOT_DATASET!F50)</x:f>
      </x:c>
      <x:c r="G50" s="4" t="str">
        <x:f>IF(SHOT_DATASET!A50="","",SHOT_DATASET!G50)</x:f>
      </x:c>
      <x:c r="H50" s="4" t="str">
        <x:f>IF(SHOT_DATASET!A50="","",SHOT_DATASET!H50)</x:f>
      </x:c>
      <x:c r="I50" s="14" t="str">
        <x:f>IF(SHOT_DATASET!A50="","",SHOT_DATASET!I50)</x:f>
      </x:c>
    </x:row>
    <x:row r="51">
      <x:c r="A51" s="6" t="str">
        <x:f>IF(SHOT_DATASET!A51="","",SHOT_DATASET!A51)</x:f>
      </x:c>
      <x:c r="B51" s="4" t="str">
        <x:f>IF(SHOT_DATASET!A51="","",SHOT_DATASET!B51)</x:f>
      </x:c>
      <x:c r="C51" s="4" t="str">
        <x:f>IF(SHOT_DATASET!A51="","",SHOT_DATASET!C51)</x:f>
      </x:c>
      <x:c r="D51" s="4" t="str">
        <x:f>IF(SHOT_DATASET!A51="","",SHOT_DATASET!D51)</x:f>
      </x:c>
      <x:c r="E51" s="4" t="str">
        <x:f>IF(SHOT_DATASET!A51="","",SHOT_DATASET!E51)</x:f>
      </x:c>
      <x:c r="F51" s="4" t="str">
        <x:f>IF(SHOT_DATASET!A51="","",SHOT_DATASET!F51)</x:f>
      </x:c>
      <x:c r="G51" s="4" t="str">
        <x:f>IF(SHOT_DATASET!A51="","",SHOT_DATASET!G51)</x:f>
      </x:c>
      <x:c r="H51" s="4" t="str">
        <x:f>IF(SHOT_DATASET!A51="","",SHOT_DATASET!H51)</x:f>
      </x:c>
      <x:c r="I51" s="14" t="str">
        <x:f>IF(SHOT_DATASET!A51="","",SHOT_DATASET!I51)</x:f>
      </x:c>
    </x:row>
    <x:row r="52">
      <x:c r="A52" s="6" t="str">
        <x:f>IF(SHOT_DATASET!A52="","",SHOT_DATASET!A52)</x:f>
      </x:c>
      <x:c r="B52" s="4" t="str">
        <x:f>IF(SHOT_DATASET!A52="","",SHOT_DATASET!B52)</x:f>
      </x:c>
      <x:c r="C52" s="4" t="str">
        <x:f>IF(SHOT_DATASET!A52="","",SHOT_DATASET!C52)</x:f>
      </x:c>
      <x:c r="D52" s="4" t="str">
        <x:f>IF(SHOT_DATASET!A52="","",SHOT_DATASET!D52)</x:f>
      </x:c>
      <x:c r="E52" s="4" t="str">
        <x:f>IF(SHOT_DATASET!A52="","",SHOT_DATASET!E52)</x:f>
      </x:c>
      <x:c r="F52" s="4" t="str">
        <x:f>IF(SHOT_DATASET!A52="","",SHOT_DATASET!F52)</x:f>
      </x:c>
      <x:c r="G52" s="4" t="str">
        <x:f>IF(SHOT_DATASET!A52="","",SHOT_DATASET!G52)</x:f>
      </x:c>
      <x:c r="H52" s="4" t="str">
        <x:f>IF(SHOT_DATASET!A52="","",SHOT_DATASET!H52)</x:f>
      </x:c>
      <x:c r="I52" s="14" t="str">
        <x:f>IF(SHOT_DATASET!A52="","",SHOT_DATASET!I52)</x:f>
      </x:c>
    </x:row>
    <x:row r="53">
      <x:c r="A53" s="6" t="str">
        <x:f>IF(SHOT_DATASET!A53="","",SHOT_DATASET!A53)</x:f>
      </x:c>
      <x:c r="B53" s="4" t="str">
        <x:f>IF(SHOT_DATASET!A53="","",SHOT_DATASET!B53)</x:f>
      </x:c>
      <x:c r="C53" s="4" t="str">
        <x:f>IF(SHOT_DATASET!A53="","",SHOT_DATASET!C53)</x:f>
      </x:c>
      <x:c r="D53" s="4" t="str">
        <x:f>IF(SHOT_DATASET!A53="","",SHOT_DATASET!D53)</x:f>
      </x:c>
      <x:c r="E53" s="4" t="str">
        <x:f>IF(SHOT_DATASET!A53="","",SHOT_DATASET!E53)</x:f>
      </x:c>
      <x:c r="F53" s="4" t="str">
        <x:f>IF(SHOT_DATASET!A53="","",SHOT_DATASET!F53)</x:f>
      </x:c>
      <x:c r="G53" s="4" t="str">
        <x:f>IF(SHOT_DATASET!A53="","",SHOT_DATASET!G53)</x:f>
      </x:c>
      <x:c r="H53" s="4" t="str">
        <x:f>IF(SHOT_DATASET!A53="","",SHOT_DATASET!H53)</x:f>
      </x:c>
      <x:c r="I53" s="14" t="str">
        <x:f>IF(SHOT_DATASET!A53="","",SHOT_DATASET!I53)</x:f>
      </x:c>
    </x:row>
    <x:row r="54">
      <x:c r="A54" s="6" t="str">
        <x:f>IF(SHOT_DATASET!A54="","",SHOT_DATASET!A54)</x:f>
      </x:c>
      <x:c r="B54" s="4" t="str">
        <x:f>IF(SHOT_DATASET!A54="","",SHOT_DATASET!B54)</x:f>
      </x:c>
      <x:c r="C54" s="4" t="str">
        <x:f>IF(SHOT_DATASET!A54="","",SHOT_DATASET!C54)</x:f>
      </x:c>
      <x:c r="D54" s="4" t="str">
        <x:f>IF(SHOT_DATASET!A54="","",SHOT_DATASET!D54)</x:f>
      </x:c>
      <x:c r="E54" s="4" t="str">
        <x:f>IF(SHOT_DATASET!A54="","",SHOT_DATASET!E54)</x:f>
      </x:c>
      <x:c r="F54" s="4" t="str">
        <x:f>IF(SHOT_DATASET!A54="","",SHOT_DATASET!F54)</x:f>
      </x:c>
      <x:c r="G54" s="4" t="str">
        <x:f>IF(SHOT_DATASET!A54="","",SHOT_DATASET!G54)</x:f>
      </x:c>
      <x:c r="H54" s="4" t="str">
        <x:f>IF(SHOT_DATASET!A54="","",SHOT_DATASET!H54)</x:f>
      </x:c>
      <x:c r="I54" s="14" t="str">
        <x:f>IF(SHOT_DATASET!A54="","",SHOT_DATASET!I54)</x:f>
      </x:c>
    </x:row>
    <x:row r="55">
      <x:c r="A55" s="6" t="str">
        <x:f>IF(SHOT_DATASET!A55="","",SHOT_DATASET!A55)</x:f>
      </x:c>
      <x:c r="B55" s="4" t="str">
        <x:f>IF(SHOT_DATASET!A55="","",SHOT_DATASET!B55)</x:f>
      </x:c>
      <x:c r="C55" s="4" t="str">
        <x:f>IF(SHOT_DATASET!A55="","",SHOT_DATASET!C55)</x:f>
      </x:c>
      <x:c r="D55" s="4" t="str">
        <x:f>IF(SHOT_DATASET!A55="","",SHOT_DATASET!D55)</x:f>
      </x:c>
      <x:c r="E55" s="4" t="str">
        <x:f>IF(SHOT_DATASET!A55="","",SHOT_DATASET!E55)</x:f>
      </x:c>
      <x:c r="F55" s="4" t="str">
        <x:f>IF(SHOT_DATASET!A55="","",SHOT_DATASET!F55)</x:f>
      </x:c>
      <x:c r="G55" s="4" t="str">
        <x:f>IF(SHOT_DATASET!A55="","",SHOT_DATASET!G55)</x:f>
      </x:c>
      <x:c r="H55" s="4" t="str">
        <x:f>IF(SHOT_DATASET!A55="","",SHOT_DATASET!H55)</x:f>
      </x:c>
      <x:c r="I55" s="14" t="str">
        <x:f>IF(SHOT_DATASET!A55="","",SHOT_DATASET!I55)</x:f>
      </x:c>
    </x:row>
    <x:row r="56">
      <x:c r="A56" s="6" t="str">
        <x:f>IF(SHOT_DATASET!A56="","",SHOT_DATASET!A56)</x:f>
      </x:c>
      <x:c r="B56" s="4" t="str">
        <x:f>IF(SHOT_DATASET!A56="","",SHOT_DATASET!B56)</x:f>
      </x:c>
      <x:c r="C56" s="4" t="str">
        <x:f>IF(SHOT_DATASET!A56="","",SHOT_DATASET!C56)</x:f>
      </x:c>
      <x:c r="D56" s="4" t="str">
        <x:f>IF(SHOT_DATASET!A56="","",SHOT_DATASET!D56)</x:f>
      </x:c>
      <x:c r="E56" s="4" t="str">
        <x:f>IF(SHOT_DATASET!A56="","",SHOT_DATASET!E56)</x:f>
      </x:c>
      <x:c r="F56" s="4" t="str">
        <x:f>IF(SHOT_DATASET!A56="","",SHOT_DATASET!F56)</x:f>
      </x:c>
      <x:c r="G56" s="4" t="str">
        <x:f>IF(SHOT_DATASET!A56="","",SHOT_DATASET!G56)</x:f>
      </x:c>
      <x:c r="H56" s="4" t="str">
        <x:f>IF(SHOT_DATASET!A56="","",SHOT_DATASET!H56)</x:f>
      </x:c>
      <x:c r="I56" s="14" t="str">
        <x:f>IF(SHOT_DATASET!A56="","",SHOT_DATASET!I56)</x:f>
      </x:c>
    </x:row>
    <x:row r="57">
      <x:c r="A57" s="6" t="str">
        <x:f>IF(SHOT_DATASET!A57="","",SHOT_DATASET!A57)</x:f>
      </x:c>
      <x:c r="B57" s="4" t="str">
        <x:f>IF(SHOT_DATASET!A57="","",SHOT_DATASET!B57)</x:f>
      </x:c>
      <x:c r="C57" s="4" t="str">
        <x:f>IF(SHOT_DATASET!A57="","",SHOT_DATASET!C57)</x:f>
      </x:c>
      <x:c r="D57" s="4" t="str">
        <x:f>IF(SHOT_DATASET!A57="","",SHOT_DATASET!D57)</x:f>
      </x:c>
      <x:c r="E57" s="4" t="str">
        <x:f>IF(SHOT_DATASET!A57="","",SHOT_DATASET!E57)</x:f>
      </x:c>
      <x:c r="F57" s="4" t="str">
        <x:f>IF(SHOT_DATASET!A57="","",SHOT_DATASET!F57)</x:f>
      </x:c>
      <x:c r="G57" s="4" t="str">
        <x:f>IF(SHOT_DATASET!A57="","",SHOT_DATASET!G57)</x:f>
      </x:c>
      <x:c r="H57" s="4" t="str">
        <x:f>IF(SHOT_DATASET!A57="","",SHOT_DATASET!H57)</x:f>
      </x:c>
      <x:c r="I57" s="14" t="str">
        <x:f>IF(SHOT_DATASET!A57="","",SHOT_DATASET!I57)</x:f>
      </x:c>
    </x:row>
    <x:row r="58">
      <x:c r="A58" s="6" t="str">
        <x:f>IF(SHOT_DATASET!A58="","",SHOT_DATASET!A58)</x:f>
      </x:c>
      <x:c r="B58" s="4" t="str">
        <x:f>IF(SHOT_DATASET!A58="","",SHOT_DATASET!B58)</x:f>
      </x:c>
      <x:c r="C58" s="4" t="str">
        <x:f>IF(SHOT_DATASET!A58="","",SHOT_DATASET!C58)</x:f>
      </x:c>
      <x:c r="D58" s="4" t="str">
        <x:f>IF(SHOT_DATASET!A58="","",SHOT_DATASET!D58)</x:f>
      </x:c>
      <x:c r="E58" s="4" t="str">
        <x:f>IF(SHOT_DATASET!A58="","",SHOT_DATASET!E58)</x:f>
      </x:c>
      <x:c r="F58" s="4" t="str">
        <x:f>IF(SHOT_DATASET!A58="","",SHOT_DATASET!F58)</x:f>
      </x:c>
      <x:c r="G58" s="4" t="str">
        <x:f>IF(SHOT_DATASET!A58="","",SHOT_DATASET!G58)</x:f>
      </x:c>
      <x:c r="H58" s="4" t="str">
        <x:f>IF(SHOT_DATASET!A58="","",SHOT_DATASET!H58)</x:f>
      </x:c>
      <x:c r="I58" s="14" t="str">
        <x:f>IF(SHOT_DATASET!A58="","",SHOT_DATASET!I58)</x:f>
      </x:c>
    </x:row>
    <x:row r="59">
      <x:c r="A59" s="6" t="str">
        <x:f>IF(SHOT_DATASET!A59="","",SHOT_DATASET!A59)</x:f>
      </x:c>
      <x:c r="B59" s="4" t="str">
        <x:f>IF(SHOT_DATASET!A59="","",SHOT_DATASET!B59)</x:f>
      </x:c>
      <x:c r="C59" s="4" t="str">
        <x:f>IF(SHOT_DATASET!A59="","",SHOT_DATASET!C59)</x:f>
      </x:c>
      <x:c r="D59" s="4" t="str">
        <x:f>IF(SHOT_DATASET!A59="","",SHOT_DATASET!D59)</x:f>
      </x:c>
      <x:c r="E59" s="4" t="str">
        <x:f>IF(SHOT_DATASET!A59="","",SHOT_DATASET!E59)</x:f>
      </x:c>
      <x:c r="F59" s="4" t="str">
        <x:f>IF(SHOT_DATASET!A59="","",SHOT_DATASET!F59)</x:f>
      </x:c>
      <x:c r="G59" s="4" t="str">
        <x:f>IF(SHOT_DATASET!A59="","",SHOT_DATASET!G59)</x:f>
      </x:c>
      <x:c r="H59" s="4" t="str">
        <x:f>IF(SHOT_DATASET!A59="","",SHOT_DATASET!H59)</x:f>
      </x:c>
      <x:c r="I59" s="14" t="str">
        <x:f>IF(SHOT_DATASET!A59="","",SHOT_DATASET!I59)</x:f>
      </x:c>
    </x:row>
    <x:row r="60">
      <x:c r="A60" s="6" t="str">
        <x:f>IF(SHOT_DATASET!A60="","",SHOT_DATASET!A60)</x:f>
      </x:c>
      <x:c r="B60" s="4" t="str">
        <x:f>IF(SHOT_DATASET!A60="","",SHOT_DATASET!B60)</x:f>
      </x:c>
      <x:c r="C60" s="4" t="str">
        <x:f>IF(SHOT_DATASET!A60="","",SHOT_DATASET!C60)</x:f>
      </x:c>
      <x:c r="D60" s="4" t="str">
        <x:f>IF(SHOT_DATASET!A60="","",SHOT_DATASET!D60)</x:f>
      </x:c>
      <x:c r="E60" s="4" t="str">
        <x:f>IF(SHOT_DATASET!A60="","",SHOT_DATASET!E60)</x:f>
      </x:c>
      <x:c r="F60" s="4" t="str">
        <x:f>IF(SHOT_DATASET!A60="","",SHOT_DATASET!F60)</x:f>
      </x:c>
      <x:c r="G60" s="4" t="str">
        <x:f>IF(SHOT_DATASET!A60="","",SHOT_DATASET!G60)</x:f>
      </x:c>
      <x:c r="H60" s="4" t="str">
        <x:f>IF(SHOT_DATASET!A60="","",SHOT_DATASET!H60)</x:f>
      </x:c>
      <x:c r="I60" s="14" t="str">
        <x:f>IF(SHOT_DATASET!A60="","",SHOT_DATASET!I60)</x:f>
      </x:c>
    </x:row>
    <x:row r="61">
      <x:c r="A61" s="6" t="str">
        <x:f>IF(SHOT_DATASET!A61="","",SHOT_DATASET!A61)</x:f>
      </x:c>
      <x:c r="B61" s="4" t="str">
        <x:f>IF(SHOT_DATASET!A61="","",SHOT_DATASET!B61)</x:f>
      </x:c>
      <x:c r="C61" s="4" t="str">
        <x:f>IF(SHOT_DATASET!A61="","",SHOT_DATASET!C61)</x:f>
      </x:c>
      <x:c r="D61" s="4" t="str">
        <x:f>IF(SHOT_DATASET!A61="","",SHOT_DATASET!D61)</x:f>
      </x:c>
      <x:c r="E61" s="4" t="str">
        <x:f>IF(SHOT_DATASET!A61="","",SHOT_DATASET!E61)</x:f>
      </x:c>
      <x:c r="F61" s="4" t="str">
        <x:f>IF(SHOT_DATASET!A61="","",SHOT_DATASET!F61)</x:f>
      </x:c>
      <x:c r="G61" s="4" t="str">
        <x:f>IF(SHOT_DATASET!A61="","",SHOT_DATASET!G61)</x:f>
      </x:c>
      <x:c r="H61" s="4" t="str">
        <x:f>IF(SHOT_DATASET!A61="","",SHOT_DATASET!H61)</x:f>
      </x:c>
      <x:c r="I61" s="14" t="str">
        <x:f>IF(SHOT_DATASET!A61="","",SHOT_DATASET!I61)</x:f>
      </x:c>
    </x:row>
    <x:row r="62">
      <x:c r="A62" s="6" t="str">
        <x:f>IF(SHOT_DATASET!A62="","",SHOT_DATASET!A62)</x:f>
      </x:c>
      <x:c r="B62" s="4" t="str">
        <x:f>IF(SHOT_DATASET!A62="","",SHOT_DATASET!B62)</x:f>
      </x:c>
      <x:c r="C62" s="4" t="str">
        <x:f>IF(SHOT_DATASET!A62="","",SHOT_DATASET!C62)</x:f>
      </x:c>
      <x:c r="D62" s="4" t="str">
        <x:f>IF(SHOT_DATASET!A62="","",SHOT_DATASET!D62)</x:f>
      </x:c>
      <x:c r="E62" s="4" t="str">
        <x:f>IF(SHOT_DATASET!A62="","",SHOT_DATASET!E62)</x:f>
      </x:c>
      <x:c r="F62" s="4" t="str">
        <x:f>IF(SHOT_DATASET!A62="","",SHOT_DATASET!F62)</x:f>
      </x:c>
      <x:c r="G62" s="4" t="str">
        <x:f>IF(SHOT_DATASET!A62="","",SHOT_DATASET!G62)</x:f>
      </x:c>
      <x:c r="H62" s="4" t="str">
        <x:f>IF(SHOT_DATASET!A62="","",SHOT_DATASET!H62)</x:f>
      </x:c>
      <x:c r="I62" s="14" t="str">
        <x:f>IF(SHOT_DATASET!A62="","",SHOT_DATASET!I62)</x:f>
      </x:c>
    </x:row>
    <x:row r="63">
      <x:c r="A63" s="6" t="str">
        <x:f>IF(SHOT_DATASET!A63="","",SHOT_DATASET!A63)</x:f>
      </x:c>
      <x:c r="B63" s="4" t="str">
        <x:f>IF(SHOT_DATASET!A63="","",SHOT_DATASET!B63)</x:f>
      </x:c>
      <x:c r="C63" s="4" t="str">
        <x:f>IF(SHOT_DATASET!A63="","",SHOT_DATASET!C63)</x:f>
      </x:c>
      <x:c r="D63" s="4" t="str">
        <x:f>IF(SHOT_DATASET!A63="","",SHOT_DATASET!D63)</x:f>
      </x:c>
      <x:c r="E63" s="4" t="str">
        <x:f>IF(SHOT_DATASET!A63="","",SHOT_DATASET!E63)</x:f>
      </x:c>
      <x:c r="F63" s="4" t="str">
        <x:f>IF(SHOT_DATASET!A63="","",SHOT_DATASET!F63)</x:f>
      </x:c>
      <x:c r="G63" s="4" t="str">
        <x:f>IF(SHOT_DATASET!A63="","",SHOT_DATASET!G63)</x:f>
      </x:c>
      <x:c r="H63" s="4" t="str">
        <x:f>IF(SHOT_DATASET!A63="","",SHOT_DATASET!H63)</x:f>
      </x:c>
      <x:c r="I63" s="14" t="str">
        <x:f>IF(SHOT_DATASET!A63="","",SHOT_DATASET!I63)</x:f>
      </x:c>
    </x:row>
    <x:row r="64">
      <x:c r="A64" s="11" t="str">
        <x:f>IF(SHOT_DATASET!A64="","",SHOT_DATASET!A64)</x:f>
      </x:c>
      <x:c r="B64" s="15" t="str">
        <x:f>IF(SHOT_DATASET!A64="","",SHOT_DATASET!B64)</x:f>
      </x:c>
      <x:c r="C64" s="15" t="str">
        <x:f>IF(SHOT_DATASET!A64="","",SHOT_DATASET!C64)</x:f>
      </x:c>
      <x:c r="D64" s="15" t="str">
        <x:f>IF(SHOT_DATASET!A64="","",SHOT_DATASET!D64)</x:f>
      </x:c>
      <x:c r="E64" s="15" t="str">
        <x:f>IF(SHOT_DATASET!A64="","",SHOT_DATASET!E64)</x:f>
      </x:c>
      <x:c r="F64" s="15" t="str">
        <x:f>IF(SHOT_DATASET!A64="","",SHOT_DATASET!F64)</x:f>
      </x:c>
      <x:c r="G64" s="15" t="str">
        <x:f>IF(SHOT_DATASET!A64="","",SHOT_DATASET!G64)</x:f>
      </x:c>
      <x:c r="H64" s="15" t="str">
        <x:f>IF(SHOT_DATASET!A64="","",SHOT_DATASET!H64)</x:f>
      </x:c>
      <x:c r="I64" s="16" t="str">
        <x:f>IF(SHOT_DATASET!A64="","",SHOT_DATASET!I64)</x:f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17f53afb42f430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10" defaultRowHeight="14.399999618530273"/>
  <x:cols>
    <x:col min="1" max="1" width="24.77734375" customWidth="1"/>
    <x:col min="2" max="2" width="18.77734375" customWidth="1"/>
    <x:col min="3" max="3" width="48.77734375" customWidth="1"/>
    <x:col min="5" max="6" width="22.77734375" customWidth="1"/>
    <x:col min="7" max="7" width="38.77734375" customWidth="1"/>
  </x:cols>
  <x:sheetData>
    <x:row r="1" ht="30" customHeight="1">
      <x:c r="A1" s="19" t="s">
        <x:v>426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 ht="36" customHeight="1">
      <x:c r="A2" s="20" t="s">
        <x:v>427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4" ht="31.950000762939453" customHeight="1">
      <x:c r="A4" s="1" t="s">
        <x:v>428</x:v>
      </x:c>
      <x:c r="B4" s="1" t="s">
        <x:v>128</x:v>
      </x:c>
      <x:c r="C4" s="1" t="s">
        <x:v>429</x:v>
      </x:c>
      <x:c r="E4" s="1" t="s">
        <x:v>430</x:v>
      </x:c>
      <x:c r="F4" s="1" t="s">
        <x:v>96</x:v>
      </x:c>
      <x:c r="G4" s="1" t="s">
        <x:v>431</x:v>
      </x:c>
    </x:row>
    <x:row r="5">
      <x:c r="A5" s="4" t="s">
        <x:v>432</x:v>
      </x:c>
      <x:c r="B5" s="4" t="str">
        <x:f>IF(COUNTIF(MP03_01_Config!F5:F18,"PASS")=0,"NOT_RUN",IF(COUNTIF(MP03_01_Config!F5:F18,"FAIL")+COUNTIF(MP03_01_Config!F5:F18,"ABORTED")&gt;0,"FAIL",IF(COUNTIF(MP03_01_Config!F5:F18,"PASS")=14,"PASS","BLOCKED")))</x:f>
        <x:v>PASS</x:v>
      </x:c>
      <x:c r="C5" s="4" t="s">
        <x:v>433</x:v>
      </x:c>
      <x:c r="E5" s="4" t="s">
        <x:v>434</x:v>
      </x:c>
      <x:c r="F5" s="4" t="n">
        <x:f>COUNTIF(SHOT_DATASET!A5:A64,"&lt;&gt;")</x:f>
        <x:v>0</x:v>
      </x:c>
      <x:c r="G5" s="4" t="s">
        <x:v>435</x:v>
      </x:c>
    </x:row>
    <x:row r="6">
      <x:c r="A6" s="4" t="s">
        <x:v>436</x:v>
      </x:c>
      <x:c r="B6" s="4" t="str">
        <x:f>IF(COUNTIF(MP03_02_Lifecycle!M5:M9,"PASS")=0,"NOT_RUN",IF(COUNTIF(MP03_02_Lifecycle!M5:M9,"FAIL")+COUNTIF(MP03_02_Lifecycle!M5:M9,"ABORTED")&gt;0,"FAIL",IF(COUNTIF(MP03_02_Lifecycle!M5:M9,"PASS")=5,"PASS","BLOCKED")))</x:f>
        <x:v>BLOCKED</x:v>
      </x:c>
      <x:c r="C6" s="4" t="s">
        <x:v>437</x:v>
      </x:c>
      <x:c r="E6" s="4" t="s">
        <x:v>438</x:v>
      </x:c>
      <x:c r="F6" s="4" t="n">
        <x:f>COUNTIF(SHOT_DATASET!V5:V64,"PASS")</x:f>
        <x:v>0</x:v>
      </x:c>
      <x:c r="G6" s="4" t="s">
        <x:v>439</x:v>
      </x:c>
    </x:row>
    <x:row r="7">
      <x:c r="A7" s="4" t="s">
        <x:v>440</x:v>
      </x:c>
      <x:c r="B7" s="4" t="str">
        <x:f>IF(COUNTA(MP03_03_Tags!C5:C44)=0,"NOT_RUN",IF(AND(COUNTIFS(MP03_03_Tags!C5:C44,20,MP03_03_Tags!E5:E44,"YES",MP03_03_Tags!I5:I44,"&lt;="&amp;CONFIG!B5,MP03_03_Tags!N5:N44,"YES",MP03_03_Tags!S5:S44,"YES",MP03_03_Tags!T5:T44,"VALID")&gt;0,COUNTIFS(MP03_03_Tags!C5:C44,24,MP03_03_Tags!E5:E44,"YES",MP03_03_Tags!I5:I44,"&lt;="&amp;CONFIG!B5,MP03_03_Tags!N5:N44,"YES",MP03_03_Tags!S5:S44,"YES",MP03_03_Tags!T5:T44,"VALID")&gt;0),"PASS","BLOCKED"))</x:f>
        <x:v>PASS</x:v>
      </x:c>
      <x:c r="C7" s="4" t="s">
        <x:v>441</x:v>
      </x:c>
      <x:c r="E7" s="4" t="s">
        <x:v>442</x:v>
      </x:c>
      <x:c r="F7" s="4" t="n">
        <x:f>COUNTIF(SHOT_DATASET!I5:I64,"SCORED")</x:f>
        <x:v>0</x:v>
      </x:c>
      <x:c r="G7" s="4" t="s">
        <x:v>443</x:v>
      </x:c>
    </x:row>
    <x:row r="8">
      <x:c r="A8" s="4" t="s">
        <x:v>444</x:v>
      </x:c>
      <x:c r="B8" s="4" t="str">
        <x:f>IF(COUNTIF(MP03_04_Faults!J5:J12,"PASS")=0,"NOT_RUN",IF(COUNTIF(MP03_04_Faults!J5:J12,"FAIL")+COUNTIF(MP03_04_Faults!J5:J12,"ABORTED")&gt;0,"FAIL",IF(COUNTIF(MP03_04_Faults!J5:J12,"PASS")=8,"PASS","BLOCKED")))</x:f>
        <x:v>BLOCKED</x:v>
      </x:c>
      <x:c r="C8" s="4" t="s">
        <x:v>445</x:v>
      </x:c>
      <x:c r="E8" s="4" t="s">
        <x:v>446</x:v>
      </x:c>
      <x:c r="F8" s="4" t="s">
        <x:v>447</x:v>
      </x:c>
      <x:c r="G8" s="4" t="s">
        <x:v>448</x:v>
      </x:c>
    </x:row>
    <x:row r="9">
      <x:c r="A9" s="4" t="s">
        <x:v>449</x:v>
      </x:c>
      <x:c r="B9" s="4" t="str">
        <x:f>IF(COUNTIF(B5:B8,"PASS")=0,"NOT_RUN",IF(COUNTIF(B5:B8,"FAIL")&gt;0,"FAIL",IF(COUNTIF(B5:B8,"PASS")=4,"PASS","BLOCKED")))</x:f>
        <x:v>BLOCKED</x:v>
      </x:c>
      <x:c r="C9" s="4" t="s">
        <x:v>450</x:v>
      </x:c>
    </x:row>
    <x:row r="11">
      <x:c r="A11" s="23" t="s">
        <x:v>451</x:v>
      </x:c>
      <x:c r="B11" s="23"/>
      <x:c r="C11" s="23"/>
      <x:c r="D11" s="23"/>
      <x:c r="E11" s="23"/>
      <x:c r="F11" s="23"/>
      <x:c r="G11" s="23"/>
      <x:c r="H11" s="23"/>
      <x:c r="I11" s="23"/>
      <x:c r="J11" s="23"/>
    </x:row>
  </x:sheetData>
  <x:mergeCells>
    <x:mergeCell ref="A1:J1"/>
    <x:mergeCell ref="A2:J2"/>
    <x:mergeCell ref="A11:J11"/>
  </x:mergeCells>
  <x:conditionalFormatting sqref="B5:B9">
    <x:cfRule type="cellIs" dxfId="3" priority="1" stopIfTrue="1" operator="equal">
      <x:formula>"PASS"</x:formula>
    </x:cfRule>
    <x:cfRule type="cellIs" dxfId="2" priority="2" stopIfTrue="1" operator="equal">
      <x:formula>"FAIL"</x:formula>
    </x:cfRule>
    <x:cfRule type="cellIs" dxfId="1" priority="3" stopIfTrue="1" operator="equal">
      <x:formula>"BLOCKED"</x:formula>
    </x:cfRule>
    <x:cfRule type="cellIs" dxfId="0" priority="4" stopIfTrue="1" operator="equal">
      <x:formula>"ABORTED"</x:formula>
    </x:cfRule>
  </x:conditionalFormatting>
  <x:dataValidations count="1">
    <x:dataValidation type="list" allowBlank="1" showInputMessage="1" showErrorMessage="1" sqref="B5:B9">
      <x:formula1>"""NOT_RUN,IN_PROGRESS,PASS,FAIL,BLOCKED,ABORTED,INVALID_DATA,NOT_APPLICABLE"""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10" defaultRowHeight="14.399999618530273"/>
  <x:cols>
    <x:col min="1" max="1" width="14.77734375" customWidth="1"/>
    <x:col min="2" max="2" width="16.77734375" customWidth="1"/>
    <x:col min="3" max="3" width="54.77734375" customWidth="1"/>
    <x:col min="4" max="4" width="22.77734375" customWidth="1"/>
    <x:col min="5" max="5" width="34.77734375" customWidth="1"/>
  </x:cols>
  <x:sheetData>
    <x:row r="1" ht="30" customHeight="1">
      <x:c r="A1" s="19" t="s">
        <x:v>452</x:v>
      </x:c>
      <x:c r="B1" s="19"/>
      <x:c r="C1" s="19"/>
      <x:c r="D1" s="19"/>
      <x:c r="E1" s="19"/>
      <x:c r="F1" s="19"/>
      <x:c r="G1" s="19"/>
      <x:c r="H1" s="19"/>
    </x:row>
    <x:row r="2" ht="36" customHeight="1">
      <x:c r="A2" s="20" t="s">
        <x:v>453</x:v>
      </x:c>
      <x:c r="B2" s="20"/>
      <x:c r="C2" s="20"/>
      <x:c r="D2" s="20"/>
      <x:c r="E2" s="20"/>
      <x:c r="F2" s="20"/>
      <x:c r="G2" s="20"/>
      <x:c r="H2" s="20"/>
    </x:row>
    <x:row r="4" ht="31.950000762939453" customHeight="1">
      <x:c r="A4" s="7" t="s">
        <x:v>454</x:v>
      </x:c>
      <x:c r="B4" s="8" t="s">
        <x:v>455</x:v>
      </x:c>
      <x:c r="C4" s="8" t="s">
        <x:v>456</x:v>
      </x:c>
      <x:c r="D4" s="8" t="s">
        <x:v>128</x:v>
      </x:c>
      <x:c r="E4" s="10" t="s">
        <x:v>457</x:v>
      </x:c>
    </x:row>
    <x:row r="5">
      <x:c r="A5" s="6" t="s">
        <x:v>458</x:v>
      </x:c>
      <x:c r="B5" s="4" t="s">
        <x:v>459</x:v>
      </x:c>
      <x:c r="C5" s="4" t="s">
        <x:v>460</x:v>
      </x:c>
      <x:c r="D5" s="4" t="s">
        <x:v>146</x:v>
      </x:c>
      <x:c r="E5" s="14" t="s">
        <x:v>461</x:v>
      </x:c>
    </x:row>
    <x:row r="6">
      <x:c r="A6" s="6" t="s">
        <x:v>462</x:v>
      </x:c>
      <x:c r="B6" s="4" t="s">
        <x:v>459</x:v>
      </x:c>
      <x:c r="C6" s="4" t="s">
        <x:v>463</x:v>
      </x:c>
      <x:c r="D6" s="4" t="s">
        <x:v>146</x:v>
      </x:c>
      <x:c r="E6" s="14" t="s">
        <x:v>464</x:v>
      </x:c>
    </x:row>
    <x:row r="7">
      <x:c r="A7" s="6" t="s">
        <x:v>465</x:v>
      </x:c>
      <x:c r="B7" s="4" t="s">
        <x:v>459</x:v>
      </x:c>
      <x:c r="C7" s="4" t="s">
        <x:v>466</x:v>
      </x:c>
      <x:c r="D7" s="4" t="s">
        <x:v>146</x:v>
      </x:c>
      <x:c r="E7" s="14" t="s">
        <x:v>467</x:v>
      </x:c>
    </x:row>
    <x:row r="8">
      <x:c r="A8" s="6" t="s">
        <x:v>468</x:v>
      </x:c>
      <x:c r="B8" s="4" t="s">
        <x:v>469</x:v>
      </x:c>
      <x:c r="C8" s="4" t="s">
        <x:v>470</x:v>
      </x:c>
      <x:c r="D8" s="4" t="s">
        <x:v>146</x:v>
      </x:c>
      <x:c r="E8" s="14" t="s">
        <x:v>471</x:v>
      </x:c>
    </x:row>
    <x:row r="9">
      <x:c r="A9" s="6" t="s">
        <x:v>472</x:v>
      </x:c>
      <x:c r="B9" s="4" t="s">
        <x:v>469</x:v>
      </x:c>
      <x:c r="C9" s="4" t="s">
        <x:v>473</x:v>
      </x:c>
      <x:c r="D9" s="4" t="s">
        <x:v>146</x:v>
      </x:c>
      <x:c r="E9" s="14" t="s">
        <x:v>471</x:v>
      </x:c>
    </x:row>
    <x:row r="10">
      <x:c r="A10" s="6" t="s">
        <x:v>474</x:v>
      </x:c>
      <x:c r="B10" s="4" t="s">
        <x:v>469</x:v>
      </x:c>
      <x:c r="C10" s="4" t="s">
        <x:v>475</x:v>
      </x:c>
      <x:c r="D10" s="4" t="s">
        <x:v>146</x:v>
      </x:c>
      <x:c r="E10" s="14" t="s">
        <x:v>476</x:v>
      </x:c>
    </x:row>
    <x:row r="11">
      <x:c r="A11" s="6" t="s">
        <x:v>477</x:v>
      </x:c>
      <x:c r="B11" s="4" t="s">
        <x:v>478</x:v>
      </x:c>
      <x:c r="C11" s="4" t="s">
        <x:v>479</x:v>
      </x:c>
      <x:c r="D11" s="4" t="s">
        <x:v>146</x:v>
      </x:c>
      <x:c r="E11" s="14" t="s">
        <x:v>480</x:v>
      </x:c>
    </x:row>
    <x:row r="12">
      <x:c r="A12" s="6" t="s">
        <x:v>481</x:v>
      </x:c>
      <x:c r="B12" s="4" t="s">
        <x:v>482</x:v>
      </x:c>
      <x:c r="C12" s="4" t="s">
        <x:v>483</x:v>
      </x:c>
      <x:c r="D12" s="4" t="s">
        <x:v>146</x:v>
      </x:c>
      <x:c r="E12" s="14" t="s">
        <x:v>484</x:v>
      </x:c>
    </x:row>
    <x:row r="13">
      <x:c r="A13" s="6" t="s">
        <x:v>485</x:v>
      </x:c>
      <x:c r="B13" s="4" t="s">
        <x:v>486</x:v>
      </x:c>
      <x:c r="C13" s="4" t="s">
        <x:v>487</x:v>
      </x:c>
      <x:c r="D13" s="4" t="s">
        <x:v>146</x:v>
      </x:c>
      <x:c r="E13" s="14" t="s">
        <x:v>488</x:v>
      </x:c>
    </x:row>
    <x:row r="14">
      <x:c r="A14" s="6" t="s">
        <x:v>489</x:v>
      </x:c>
      <x:c r="B14" s="4" t="s">
        <x:v>486</x:v>
      </x:c>
      <x:c r="C14" s="4" t="s">
        <x:v>490</x:v>
      </x:c>
      <x:c r="D14" s="4" t="s">
        <x:v>146</x:v>
      </x:c>
      <x:c r="E14" s="14" t="s">
        <x:v>491</x:v>
      </x:c>
    </x:row>
    <x:row r="15">
      <x:c r="A15" s="11" t="s">
        <x:v>492</x:v>
      </x:c>
      <x:c r="B15" s="15" t="s">
        <x:v>493</x:v>
      </x:c>
      <x:c r="C15" s="15" t="s">
        <x:v>494</x:v>
      </x:c>
      <x:c r="D15" s="15" t="s">
        <x:v>146</x:v>
      </x:c>
      <x:c r="E15" s="16" t="s">
        <x:v>495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ab28e58d44c412e"/>
  </x:tableParts>
</x:worksheet>
</file>